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進め方" sheetId="1" state="visible" r:id="rId1"/>
    <sheet name="1_学習WBS" sheetId="2" state="visible" r:id="rId2"/>
    <sheet name="2_進捗サマリ" sheetId="3" state="visible" r:id="rId3"/>
    <sheet name="3_実機記録" sheetId="4" state="visible" r:id="rId4"/>
    <sheet name="4_修了判定" sheetId="5" state="visible" r:id="rId5"/>
  </sheets>
  <definedNames>
    <definedName name="_xlnm._FilterDatabase" localSheetId="1" hidden="1">'1_学習WBS'!$A$2:$I$97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  <font>
      <name val="微软雅黑"/>
      <b val="1"/>
      <color rgb="001D2D3E"/>
      <sz val="10"/>
    </font>
  </fonts>
  <fills count="6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8F5E9"/>
      </patternFill>
    </fill>
    <fill>
      <patternFill patternType="solid">
        <fgColor rgb="00F2F4F7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6" customHeight="1">
      <c r="A1" s="1" t="inlineStr">
        <is>
          <t>学習WBS（受講者版）— SD バリアント設定付き受注生産（VC）</t>
        </is>
      </c>
    </row>
    <row r="2">
      <c r="A2" s="2" t="inlineStr">
        <is>
          <t>SAP S/4HANA 業務実践トレーニング / 記入式の進捗管理ワークブック（サイト版と同期）</t>
        </is>
      </c>
    </row>
    <row r="3" ht="39" customHeight="1">
      <c r="A3" s="3" t="inlineStr">
        <is>
          <t>本ワークブックの使い方</t>
        </is>
      </c>
      <c r="B3" s="4" t="inlineStr">
        <is>
          <t>VC は「1 品目で無数のバリエーション」を表現する構成エンジンです。手顺の暗記ではなく、「どの特徴が何を決めるか（BOM・工程・価格）」を設計できるようになることが目的です。各タスクの完成基準を満たしたら ○ を入れてください。</t>
        </is>
      </c>
    </row>
    <row r="4" ht="26" customHeight="1">
      <c r="A4" s="3" t="inlineStr">
        <is>
          <t>目安時間</t>
        </is>
      </c>
      <c r="B4" s="4" t="inlineStr">
        <is>
          <t>配置（C0〜C16）＋練習①〜⑤で「講義 2 日 ＋ 実機 2〜3 日」程度。依存関係の作り込みに時間がかかります。</t>
        </is>
      </c>
    </row>
    <row r="5" ht="26" customHeight="1">
      <c r="A5" s="3" t="inlineStr">
        <is>
          <t>特に注意</t>
        </is>
      </c>
      <c r="B5" s="4" t="inlineStr">
        <is>
          <t>VC を入れる前に、① バージョンと AVC/LO-VC の選択 ② 特徴設計の粒度 ③ 価格モデル を業務と合意してください。設計を誤ると後戻りが高くつきます。</t>
        </is>
      </c>
    </row>
    <row r="7">
      <c r="A7" s="3" t="inlineStr">
        <is>
          <t>凡例</t>
        </is>
      </c>
      <c r="B7" s="4" t="inlineStr">
        <is>
          <t>○ ＝ できた（完成基準を満たした）／△ ＝ 一部できた（要確認）／× ＝ できなかった。「2_進捗サマリ」にフェーズ別の完了率が自動計算されます。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2" customWidth="1" min="4" max="4"/>
    <col width="62" customWidth="1" min="5" max="5"/>
    <col width="9" customWidth="1" min="6" max="6"/>
    <col width="12" customWidth="1" min="7" max="7"/>
    <col width="10" customWidth="1" min="8" max="8"/>
    <col width="30" customWidth="1" min="9" max="9"/>
  </cols>
  <sheetData>
    <row r="1" ht="26" customHeight="1">
      <c r="A1" s="1" t="inlineStr">
        <is>
          <t>学習WBS — SD バリアント設定付き受注生産（VC）（上から順に実施）</t>
        </is>
      </c>
    </row>
    <row r="2" ht="24" customHeight="1">
      <c r="A2" s="5" t="inlineStr">
        <is>
          <t>#</t>
        </is>
      </c>
      <c r="B2" s="5" t="inlineStr">
        <is>
          <t>フェーズ</t>
        </is>
      </c>
      <c r="C2" s="5" t="inlineStr">
        <is>
          <t>タスク</t>
        </is>
      </c>
      <c r="D2" s="5" t="inlineStr">
        <is>
          <t>参照ページ</t>
        </is>
      </c>
      <c r="E2" s="5" t="inlineStr">
        <is>
          <t>完成基準（ここを満たしたら ○）</t>
        </is>
      </c>
      <c r="F2" s="5" t="inlineStr">
        <is>
          <t>目安(分)</t>
        </is>
      </c>
      <c r="G2" s="5" t="inlineStr">
        <is>
          <t>実施日</t>
        </is>
      </c>
      <c r="H2" s="5" t="inlineStr">
        <is>
          <t>自己判定</t>
        </is>
      </c>
      <c r="I2" s="5" t="inlineStr">
        <is>
          <t>メモ</t>
        </is>
      </c>
    </row>
    <row r="3" ht="26" customHeight="1">
      <c r="A3" s="6" t="n">
        <v>1</v>
      </c>
      <c r="B3" s="4" t="inlineStr">
        <is>
          <t>A 総覧</t>
        </is>
      </c>
      <c r="C3" s="4" t="inlineStr">
        <is>
          <t>本站の環境と前提を説明できる</t>
        </is>
      </c>
      <c r="D3" s="6" t="inlineStr">
        <is>
          <t>index.html</t>
        </is>
      </c>
      <c r="E3" s="4" t="inlineStr">
        <is>
          <t>特徴 / クラス / KMAT / 設定プロファイルを作成する権限と、AVC（PMEVC）の利用可否を確認した</t>
        </is>
      </c>
      <c r="F3" s="6" t="n">
        <v>10</v>
      </c>
      <c r="G3" s="6" t="inlineStr"/>
      <c r="H3" s="7" t="inlineStr"/>
      <c r="I3" s="4" t="inlineStr"/>
    </row>
    <row r="4" ht="18" customHeight="1">
      <c r="A4" s="8" t="n">
        <v>2</v>
      </c>
      <c r="B4" s="9" t="inlineStr">
        <is>
          <t>A 総覧</t>
        </is>
      </c>
      <c r="C4" s="9" t="inlineStr">
        <is>
          <t>VC の位置づけを説明できる</t>
        </is>
      </c>
      <c r="D4" s="8" t="inlineStr">
        <is>
          <t>index.html</t>
        </is>
      </c>
      <c r="E4" s="9" t="inlineStr">
        <is>
          <t>VC は生産形態ではなく構成エンジンであり、在庫区分と戦略は別途決めることを説明できる</t>
        </is>
      </c>
      <c r="F4" s="8" t="n">
        <v>10</v>
      </c>
      <c r="G4" s="8" t="inlineStr"/>
      <c r="H4" s="7" t="inlineStr"/>
      <c r="I4" s="9" t="inlineStr"/>
    </row>
    <row r="5" ht="26" customHeight="1">
      <c r="A5" s="6" t="n">
        <v>3</v>
      </c>
      <c r="B5" s="4" t="inlineStr">
        <is>
          <t>A 総覧</t>
        </is>
      </c>
      <c r="C5" s="4" t="inlineStr">
        <is>
          <t>設定値の流れを白紙に書ける</t>
        </is>
      </c>
      <c r="D5" s="6" t="inlineStr">
        <is>
          <t>index.html</t>
        </is>
      </c>
      <c r="E5" s="4" t="inlineStr">
        <is>
          <t>受注で構成 → BOM 選別 → MRP → 指図 → 入庫 → 出荷 → 請求 の各段階で、設定値が何を決めるかを説明できる</t>
        </is>
      </c>
      <c r="F5" s="6" t="n">
        <v>10</v>
      </c>
      <c r="G5" s="6" t="inlineStr"/>
      <c r="H5" s="7" t="inlineStr"/>
      <c r="I5" s="4" t="inlineStr"/>
    </row>
    <row r="6" ht="26" customHeight="1">
      <c r="A6" s="8" t="n">
        <v>4</v>
      </c>
      <c r="B6" s="9" t="inlineStr">
        <is>
          <t>B 概念と設計</t>
        </is>
      </c>
      <c r="C6" s="9" t="inlineStr">
        <is>
          <t>VC の構成要素 6 つを言える</t>
        </is>
      </c>
      <c r="D6" s="8" t="inlineStr">
        <is>
          <t>concept.html</t>
        </is>
      </c>
      <c r="E6" s="9" t="inlineStr">
        <is>
          <t>特徴 / クラス / KMAT / 依存関係 / 設定プロファイル / シミュレーション（＋ C 步の T-code）</t>
        </is>
      </c>
      <c r="F6" s="8" t="n">
        <v>10</v>
      </c>
      <c r="G6" s="8" t="inlineStr"/>
      <c r="H6" s="7" t="inlineStr"/>
      <c r="I6" s="9" t="inlineStr"/>
    </row>
    <row r="7" ht="26" customHeight="1">
      <c r="A7" s="6" t="n">
        <v>5</v>
      </c>
      <c r="B7" s="4" t="inlineStr">
        <is>
          <t>B 概念と設計</t>
        </is>
      </c>
      <c r="C7" s="4" t="inlineStr">
        <is>
          <t>依存関係の 4 種類を区別できる</t>
        </is>
      </c>
      <c r="D7" s="6" t="inlineStr">
        <is>
          <t>concept.html</t>
        </is>
      </c>
      <c r="E7" s="4" t="inlineStr">
        <is>
          <t>前提条件 / 選択条件 / 手続き / アクションが、それぞれ何を制御し、どこで評価されるかを説明できる</t>
        </is>
      </c>
      <c r="F7" s="6" t="n">
        <v>10</v>
      </c>
      <c r="G7" s="6" t="inlineStr"/>
      <c r="H7" s="7" t="inlineStr"/>
      <c r="I7" s="4" t="inlineStr"/>
    </row>
    <row r="8" ht="26" customHeight="1">
      <c r="A8" s="8" t="n">
        <v>6</v>
      </c>
      <c r="B8" s="9" t="inlineStr">
        <is>
          <t>B 概念と設計</t>
        </is>
      </c>
      <c r="C8" s="9" t="inlineStr">
        <is>
          <t>スーパー BOM と受注 BOM の違いを説明できる</t>
        </is>
      </c>
      <c r="D8" s="8" t="inlineStr">
        <is>
          <t>concept.html</t>
        </is>
      </c>
      <c r="E8" s="9" t="inlineStr">
        <is>
          <t>設計上の全候補（スーパー BOM）と、受注時に選ばれた結果（受注 BOM）の関係を説明できる</t>
        </is>
      </c>
      <c r="F8" s="8" t="n">
        <v>10</v>
      </c>
      <c r="G8" s="8" t="inlineStr"/>
      <c r="H8" s="7" t="inlineStr"/>
      <c r="I8" s="9" t="inlineStr"/>
    </row>
    <row r="9" ht="26" customHeight="1">
      <c r="A9" s="6" t="n">
        <v>7</v>
      </c>
      <c r="B9" s="4" t="inlineStr">
        <is>
          <t>B 概念と設計</t>
        </is>
      </c>
      <c r="C9" s="4" t="inlineStr">
        <is>
          <t>VC × 生産形態の組合せを言える</t>
        </is>
      </c>
      <c r="D9" s="6" t="inlineStr">
        <is>
          <t>concept.html</t>
        </is>
      </c>
      <c r="E9" s="4" t="inlineStr">
        <is>
          <t>戦略 25（KEK / 046）・82（KMFA / 201 / PP04）・ETO（Q）を、在庫区分と併せて説明できる</t>
        </is>
      </c>
      <c r="F9" s="6" t="n">
        <v>10</v>
      </c>
      <c r="G9" s="6" t="inlineStr"/>
      <c r="H9" s="7" t="inlineStr"/>
      <c r="I9" s="4" t="inlineStr"/>
    </row>
    <row r="10" ht="26" customHeight="1">
      <c r="A10" s="8" t="n">
        <v>8</v>
      </c>
      <c r="B10" s="9" t="inlineStr">
        <is>
          <t>B 概念と設計</t>
        </is>
      </c>
      <c r="C10" s="9" t="inlineStr">
        <is>
          <t>変種価格のしくみを説明できる</t>
        </is>
      </c>
      <c r="D10" s="8" t="inlineStr">
        <is>
          <t>concept.html</t>
        </is>
      </c>
      <c r="E10" s="9" t="inlineStr">
        <is>
          <t>条件タイプ VA00 と、特徴の追加データ（SDCOM-VKOND）・条件レコードの関係を説明できる</t>
        </is>
      </c>
      <c r="F10" s="8" t="n">
        <v>10</v>
      </c>
      <c r="G10" s="8" t="inlineStr"/>
      <c r="H10" s="7" t="inlineStr"/>
      <c r="I10" s="9" t="inlineStr"/>
    </row>
    <row r="11" ht="26" customHeight="1">
      <c r="A11" s="6" t="n">
        <v>9</v>
      </c>
      <c r="B11" s="4" t="inlineStr">
        <is>
          <t>B 概念と設計</t>
        </is>
      </c>
      <c r="C11" s="4" t="inlineStr">
        <is>
          <t>LO-VC と AVC の違いを説明できる</t>
        </is>
      </c>
      <c r="D11" s="6" t="inlineStr">
        <is>
          <t>concept.html</t>
        </is>
      </c>
      <c r="E11" s="4" t="inlineStr">
        <is>
          <t>S/4HANA の AVC（PMEVC）と従来 LO-VC の関係、移行の判断ポイントを説明できる</t>
        </is>
      </c>
      <c r="F11" s="6" t="n">
        <v>10</v>
      </c>
      <c r="G11" s="6" t="inlineStr"/>
      <c r="H11" s="7" t="inlineStr"/>
      <c r="I11" s="4" t="inlineStr"/>
    </row>
    <row r="12" ht="26" customHeight="1">
      <c r="A12" s="8" t="n">
        <v>10</v>
      </c>
      <c r="B12" s="9" t="inlineStr">
        <is>
          <t>C 配置（SPRO / マスタ）</t>
        </is>
      </c>
      <c r="C12" s="9" t="inlineStr">
        <is>
          <t>前提与环境确认（権限・AVC/PMEVC の利用可否）</t>
        </is>
      </c>
      <c r="D12" s="8" t="inlineStr">
        <is>
          <t>config.html#c0</t>
        </is>
      </c>
      <c r="E12" s="9" t="inlineStr">
        <is>
          <t>確認（自システム） CT04 で「特徴」の初期画面が開き、CU50 で品目を指定する画面（または品目が選べる構成画面）が出れば、前提は満たされています。</t>
        </is>
      </c>
      <c r="F12" s="8" t="n">
        <v>15</v>
      </c>
      <c r="G12" s="8" t="inlineStr"/>
      <c r="H12" s="7" t="inlineStr"/>
      <c r="I12" s="9" t="inlineStr"/>
    </row>
    <row r="13" ht="26" customHeight="1">
      <c r="A13" s="6" t="n">
        <v>11</v>
      </c>
      <c r="B13" s="4" t="inlineStr">
        <is>
          <t>C 配置（SPRO / マスタ）</t>
        </is>
      </c>
      <c r="C13" s="4" t="inlineStr">
        <is>
          <t>特徴（Characteristics）の設計と登録</t>
        </is>
      </c>
      <c r="D13" s="6" t="inlineStr">
        <is>
          <t>config.html#c1</t>
        </is>
      </c>
      <c r="E13" s="4" t="inlineStr">
        <is>
          <t>確認（自システム） ① CT04（照会）で ZVC_MATERIAL を開き、データタイプ CHAR・許可値 3 件・「複数値」の状態を確認。</t>
        </is>
      </c>
      <c r="F13" s="6" t="n">
        <v>15</v>
      </c>
      <c r="G13" s="6" t="inlineStr"/>
      <c r="H13" s="7" t="inlineStr"/>
      <c r="I13" s="4" t="inlineStr"/>
    </row>
    <row r="14" ht="26" customHeight="1">
      <c r="A14" s="8" t="n">
        <v>12</v>
      </c>
      <c r="B14" s="9" t="inlineStr">
        <is>
          <t>C 配置（SPRO / マスタ）</t>
        </is>
      </c>
      <c r="C14" s="9" t="inlineStr">
        <is>
          <t>クラス（型 300）の登録と特徴の割当</t>
        </is>
      </c>
      <c r="D14" s="8" t="inlineStr">
        <is>
          <t>config.html#c2</t>
        </is>
      </c>
      <c r="E14" s="9" t="inlineStr">
        <is>
          <t>確認（自システム） ① CL03 → クラス ZVC_PUMP_CL：特徴タブに 4 行、必須列の状態が意図どおり。</t>
        </is>
      </c>
      <c r="F14" s="8" t="n">
        <v>15</v>
      </c>
      <c r="G14" s="8" t="inlineStr"/>
      <c r="H14" s="7" t="inlineStr"/>
      <c r="I14" s="9" t="inlineStr"/>
    </row>
    <row r="15" ht="26" customHeight="1">
      <c r="A15" s="6" t="n">
        <v>13</v>
      </c>
      <c r="B15" s="4" t="inlineStr">
        <is>
          <t>C 配置（SPRO / マスタ）</t>
        </is>
      </c>
      <c r="C15" s="4" t="inlineStr">
        <is>
          <t>設定可能品目 ZVC-PUMP01（KMAT）の登録とクラス割当</t>
        </is>
      </c>
      <c r="D15" s="6" t="inlineStr">
        <is>
          <t>config.html#c3</t>
        </is>
      </c>
      <c r="E15" s="4" t="inlineStr">
        <is>
          <t>確認（自システム） ① MM03 で 5 点セット（KMAT/設定可能 ON/0002/戦略 25/MRP4 1）を目視確認。</t>
        </is>
      </c>
      <c r="F15" s="6" t="n">
        <v>15</v>
      </c>
      <c r="G15" s="6" t="inlineStr"/>
      <c r="H15" s="7" t="inlineStr"/>
      <c r="I15" s="4" t="inlineStr"/>
    </row>
    <row r="16" ht="26" customHeight="1">
      <c r="A16" s="8" t="n">
        <v>14</v>
      </c>
      <c r="B16" s="9" t="inlineStr">
        <is>
          <t>C 配置（SPRO / マスタ）</t>
        </is>
      </c>
      <c r="C16" s="9" t="inlineStr">
        <is>
          <t>設定プロファイルの作成と品目への割当（処理形式＝BOM の扱いを決める）</t>
        </is>
      </c>
      <c r="D16" s="8" t="inlineStr">
        <is>
          <t>config.html#c4</t>
        </is>
      </c>
      <c r="E16" s="9" t="inlineStr">
        <is>
          <t>確認（自システム） ① CU43 でプロファイル ZVC_PROFILE01 を照会し、割当品目・クラス・処理形式・必須チェックの状態を確認。</t>
        </is>
      </c>
      <c r="F16" s="8" t="n">
        <v>15</v>
      </c>
      <c r="G16" s="8" t="inlineStr"/>
      <c r="H16" s="7" t="inlineStr"/>
      <c r="I16" s="9" t="inlineStr"/>
    </row>
    <row r="17" ht="26" customHeight="1">
      <c r="A17" s="6" t="n">
        <v>15</v>
      </c>
      <c r="B17" s="4" t="inlineStr">
        <is>
          <t>C 配置（SPRO / マスタ）</t>
        </is>
      </c>
      <c r="C17" s="4" t="inlineStr">
        <is>
          <t>依存関係①：前提条件（Precondition）</t>
        </is>
      </c>
      <c r="D17" s="6" t="inlineStr">
        <is>
          <t>config.html#c5</t>
        </is>
      </c>
      <c r="E17" s="4" t="inlineStr">
        <is>
          <t>確認（自システム） ① CU03 → 依存関係 ID → 「適用先」／「使用箇所一覧」で、どの特徴値に貼られているかが見える（ここが見えないと発火しない）。</t>
        </is>
      </c>
      <c r="F17" s="6" t="n">
        <v>15</v>
      </c>
      <c r="G17" s="6" t="inlineStr"/>
      <c r="H17" s="7" t="inlineStr"/>
      <c r="I17" s="4" t="inlineStr"/>
    </row>
    <row r="18" ht="26" customHeight="1">
      <c r="A18" s="8" t="n">
        <v>16</v>
      </c>
      <c r="B18" s="9" t="inlineStr">
        <is>
          <t>C 配置（SPRO / マスタ）</t>
        </is>
      </c>
      <c r="C18" s="9" t="inlineStr">
        <is>
          <t>依存関係②：選択条件（Selection condition）</t>
        </is>
      </c>
      <c r="D18" s="8" t="inlineStr">
        <is>
          <t>config.html#c6</t>
        </is>
      </c>
      <c r="E18" s="9" t="inlineStr">
        <is>
          <t>確認（自システム） ① CS03 → 品目 ZVC-PUMP01 → BOM 明細：各行の選択条件欄に依存関係 ID が入っているか。</t>
        </is>
      </c>
      <c r="F18" s="8" t="n">
        <v>15</v>
      </c>
      <c r="G18" s="8" t="inlineStr"/>
      <c r="H18" s="7" t="inlineStr"/>
      <c r="I18" s="9" t="inlineStr"/>
    </row>
    <row r="19" ht="26" customHeight="1">
      <c r="A19" s="6" t="n">
        <v>17</v>
      </c>
      <c r="B19" s="4" t="inlineStr">
        <is>
          <t>C 配置（SPRO / マスタ）</t>
        </is>
      </c>
      <c r="C19" s="4" t="inlineStr">
        <is>
          <t>依存関係③：手続き（Procedure）とアクション（Action）</t>
        </is>
      </c>
      <c r="D19" s="6" t="inlineStr">
        <is>
          <t>config.html#c7</t>
        </is>
      </c>
      <c r="E19" s="4" t="inlineStr">
        <is>
          <t>確認（自システム） ① CU50 の構成結果で数量・標準値の差を目視（差が出ないときは適用先と式の項目名を疑う）。</t>
        </is>
      </c>
      <c r="F19" s="6" t="n">
        <v>15</v>
      </c>
      <c r="G19" s="6" t="inlineStr"/>
      <c r="H19" s="7" t="inlineStr"/>
      <c r="I19" s="4" t="inlineStr"/>
    </row>
    <row r="20" ht="18" customHeight="1">
      <c r="A20" s="8" t="n">
        <v>18</v>
      </c>
      <c r="B20" s="9" t="inlineStr">
        <is>
          <t>C 配置（SPRO / マスタ）</t>
        </is>
      </c>
      <c r="C20" s="9" t="inlineStr">
        <is>
          <t>スーパー BOM の登録と選択条件</t>
        </is>
      </c>
      <c r="D20" s="8" t="inlineStr">
        <is>
          <t>config.html#c8</t>
        </is>
      </c>
      <c r="E20" s="9" t="inlineStr">
        <is>
          <t>確認（自システム） ① CS03：明細数と選択条件の有無。</t>
        </is>
      </c>
      <c r="F20" s="8" t="n">
        <v>15</v>
      </c>
      <c r="G20" s="8" t="inlineStr"/>
      <c r="H20" s="7" t="inlineStr"/>
      <c r="I20" s="9" t="inlineStr"/>
    </row>
    <row r="21" ht="18" customHeight="1">
      <c r="A21" s="6" t="n">
        <v>19</v>
      </c>
      <c r="B21" s="4" t="inlineStr">
        <is>
          <t>C 配置（SPRO / マスタ）</t>
        </is>
      </c>
      <c r="C21" s="4" t="inlineStr">
        <is>
          <t>作業手順（工程）と依存関係</t>
        </is>
      </c>
      <c r="D21" s="6" t="inlineStr">
        <is>
          <t>config.html#c9</t>
        </is>
      </c>
      <c r="E21" s="4" t="inlineStr">
        <is>
          <t>確認（自システム） ① CA03 で工程と選択条件を照会。</t>
        </is>
      </c>
      <c r="F21" s="6" t="n">
        <v>15</v>
      </c>
      <c r="G21" s="6" t="inlineStr"/>
      <c r="H21" s="7" t="inlineStr"/>
      <c r="I21" s="4" t="inlineStr"/>
    </row>
    <row r="22" ht="26" customHeight="1">
      <c r="A22" s="8" t="n">
        <v>20</v>
      </c>
      <c r="B22" s="9" t="inlineStr">
        <is>
          <t>C 配置（SPRO / マスタ）</t>
        </is>
      </c>
      <c r="C22" s="9" t="inlineStr">
        <is>
          <t>明細カテゴリの確認（VC 品目がどう決定されるか）</t>
        </is>
      </c>
      <c r="D22" s="8" t="inlineStr">
        <is>
          <t>config.html#c10</t>
        </is>
      </c>
      <c r="E22" s="9" t="inlineStr">
        <is>
          <t>確認（自システム） ① VA03 の明細：明細カテゴリと、その明細が「構成入力可」かどうか（構成ボタンの有無）。</t>
        </is>
      </c>
      <c r="F22" s="8" t="n">
        <v>15</v>
      </c>
      <c r="G22" s="8" t="inlineStr"/>
      <c r="H22" s="7" t="inlineStr"/>
      <c r="I22" s="9" t="inlineStr"/>
    </row>
    <row r="23" ht="18" customHeight="1">
      <c r="A23" s="6" t="n">
        <v>21</v>
      </c>
      <c r="B23" s="4" t="inlineStr">
        <is>
          <t>C 配置（SPRO / マスタ）</t>
        </is>
      </c>
      <c r="C23" s="4" t="inlineStr">
        <is>
          <t>戦略グループと所要量クラス（VC × 生産形態の接点）</t>
        </is>
      </c>
      <c r="D23" s="6" t="inlineStr">
        <is>
          <t>config.html#c11</t>
        </is>
      </c>
      <c r="E23" s="4" t="inlineStr">
        <is>
          <t>確認（自システム） ① OVZG で 046 の属性（評価区分・在庫区分）を目視。</t>
        </is>
      </c>
      <c r="F23" s="6" t="n">
        <v>15</v>
      </c>
      <c r="G23" s="6" t="inlineStr"/>
      <c r="H23" s="7" t="inlineStr"/>
      <c r="I23" s="4" t="inlineStr"/>
    </row>
    <row r="24" ht="26" customHeight="1">
      <c r="A24" s="8" t="n">
        <v>22</v>
      </c>
      <c r="B24" s="9" t="inlineStr">
        <is>
          <t>C 配置（SPRO / マスタ）</t>
        </is>
      </c>
      <c r="C24" s="9" t="inlineStr">
        <is>
          <t>ATP・在庫確認（納期が決まる仕組み）</t>
        </is>
      </c>
      <c r="D24" s="8" t="inlineStr">
        <is>
          <t>config.html#c12</t>
        </is>
      </c>
      <c r="E24" s="9" t="inlineStr">
        <is>
          <t>確認（自システム） ① CO09 の画面で「確認の範囲（Scope of Check）」を確認。</t>
        </is>
      </c>
      <c r="F24" s="8" t="n">
        <v>15</v>
      </c>
      <c r="G24" s="8" t="inlineStr"/>
      <c r="H24" s="7" t="inlineStr"/>
      <c r="I24" s="9" t="inlineStr"/>
    </row>
    <row r="25" ht="18" customHeight="1">
      <c r="A25" s="6" t="n">
        <v>23</v>
      </c>
      <c r="B25" s="4" t="inlineStr">
        <is>
          <t>C 配置（SPRO / マスタ）</t>
        </is>
      </c>
      <c r="C25" s="4" t="inlineStr">
        <is>
          <t>変種価格（VA00 と特徴の追加データ）</t>
        </is>
      </c>
      <c r="D25" s="6" t="inlineStr">
        <is>
          <t>config.html#c13</t>
        </is>
      </c>
      <c r="E25" s="4" t="inlineStr">
        <is>
          <t>確認（自システム） ① VK13：条件レコードの一覧（キーの値と金額）。</t>
        </is>
      </c>
      <c r="F25" s="6" t="n">
        <v>15</v>
      </c>
      <c r="G25" s="6" t="inlineStr"/>
      <c r="H25" s="7" t="inlineStr"/>
      <c r="I25" s="4" t="inlineStr"/>
    </row>
    <row r="26" ht="18" customHeight="1">
      <c r="A26" s="8" t="n">
        <v>24</v>
      </c>
      <c r="B26" s="9" t="inlineStr">
        <is>
          <t>C 配置（SPRO / マスタ）</t>
        </is>
      </c>
      <c r="C26" s="9" t="inlineStr">
        <is>
          <t>出荷・請求の前提（VC での見え方）</t>
        </is>
      </c>
      <c r="D26" s="8" t="inlineStr">
        <is>
          <t>config.html#c14</t>
        </is>
      </c>
      <c r="E26" s="9" t="inlineStr">
        <is>
          <t>確認（自システム） ① VL01N 明細の在庫区分。</t>
        </is>
      </c>
      <c r="F26" s="8" t="n">
        <v>15</v>
      </c>
      <c r="G26" s="8" t="inlineStr"/>
      <c r="H26" s="7" t="inlineStr"/>
      <c r="I26" s="9" t="inlineStr"/>
    </row>
    <row r="27" ht="26" customHeight="1">
      <c r="A27" s="6" t="n">
        <v>25</v>
      </c>
      <c r="B27" s="4" t="inlineStr">
        <is>
          <t>C 配置（SPRO / マスタ）</t>
        </is>
      </c>
      <c r="C27" s="4" t="inlineStr">
        <is>
          <t>自動転記（OBYC）と評価の確認</t>
        </is>
      </c>
      <c r="D27" s="6" t="inlineStr">
        <is>
          <t>config.html#c15</t>
        </is>
      </c>
      <c r="E27" s="4" t="inlineStr">
        <is>
          <t>確認（自システム） ① MB03 の会計伝票ボタンがグレーアウトしていないか（評価されていない品目では伝票が作られないことがある）。</t>
        </is>
      </c>
      <c r="F27" s="6" t="n">
        <v>15</v>
      </c>
      <c r="G27" s="6" t="inlineStr"/>
      <c r="H27" s="7" t="inlineStr"/>
      <c r="I27" s="4" t="inlineStr"/>
    </row>
    <row r="28" ht="18" customHeight="1">
      <c r="A28" s="8" t="n">
        <v>26</v>
      </c>
      <c r="B28" s="9" t="inlineStr">
        <is>
          <t>C 配置（SPRO / マスタ）</t>
        </is>
      </c>
      <c r="C28" s="9" t="inlineStr">
        <is>
          <t>Public Cloud 差异对照（AVC 前提・SSCUI でできないこと）</t>
        </is>
      </c>
      <c r="D28" s="8" t="inlineStr">
        <is>
          <t>config.html#c16</t>
        </is>
      </c>
      <c r="E28" s="9" t="inlineStr">
        <is>
          <t>下一步 → 练习① 特徴とクラスの設計（実機での作業へ）。</t>
        </is>
      </c>
      <c r="F28" s="8" t="n">
        <v>15</v>
      </c>
      <c r="G28" s="8" t="inlineStr"/>
      <c r="H28" s="7" t="inlineStr"/>
      <c r="I28" s="9" t="inlineStr"/>
    </row>
    <row r="29" ht="18" customHeight="1">
      <c r="A29" s="6" t="n">
        <v>27</v>
      </c>
      <c r="B29" s="4" t="inlineStr">
        <is>
          <t>D 練習①</t>
        </is>
      </c>
      <c r="C29" s="4" t="inlineStr">
        <is>
          <t>1-1 特徴の設計（何を特徴にするかを先に決める）</t>
        </is>
      </c>
      <c r="D29" s="6" t="inlineStr">
        <is>
          <t>handson-1.html</t>
        </is>
      </c>
      <c r="E29" s="4" t="inlineStr">
        <is>
          <t>手順どおり操作し、「期待結果」の記載とシステムの状態が一致することを確認した</t>
        </is>
      </c>
      <c r="F29" s="6" t="n">
        <v>20</v>
      </c>
      <c r="G29" s="6" t="inlineStr"/>
      <c r="H29" s="7" t="inlineStr"/>
      <c r="I29" s="4" t="inlineStr"/>
    </row>
    <row r="30" ht="18" customHeight="1">
      <c r="A30" s="8" t="n">
        <v>28</v>
      </c>
      <c r="B30" s="9" t="inlineStr">
        <is>
          <t>D 練習①</t>
        </is>
      </c>
      <c r="C30" s="9" t="inlineStr">
        <is>
          <t>1-2 特徴の登録（CT04）</t>
        </is>
      </c>
      <c r="D30" s="8" t="inlineStr">
        <is>
          <t>handson-1.html</t>
        </is>
      </c>
      <c r="E30" s="9" t="inlineStr">
        <is>
          <t>手順どおり操作し、「期待結果」の記載とシステムの状態が一致することを確認した</t>
        </is>
      </c>
      <c r="F30" s="8" t="n">
        <v>20</v>
      </c>
      <c r="G30" s="8" t="inlineStr"/>
      <c r="H30" s="7" t="inlineStr"/>
      <c r="I30" s="9" t="inlineStr"/>
    </row>
    <row r="31" ht="18" customHeight="1">
      <c r="A31" s="6" t="n">
        <v>29</v>
      </c>
      <c r="B31" s="4" t="inlineStr">
        <is>
          <t>D 練習①</t>
        </is>
      </c>
      <c r="C31" s="4" t="inlineStr">
        <is>
          <t>1-3 クラスの登録と特徴の割当（CL02）</t>
        </is>
      </c>
      <c r="D31" s="6" t="inlineStr">
        <is>
          <t>handson-1.html</t>
        </is>
      </c>
      <c r="E31" s="4" t="inlineStr">
        <is>
          <t>手順どおり操作し、「期待結果」の記載とシステムの状態が一致することを確認した</t>
        </is>
      </c>
      <c r="F31" s="6" t="n">
        <v>20</v>
      </c>
      <c r="G31" s="6" t="inlineStr"/>
      <c r="H31" s="7" t="inlineStr"/>
      <c r="I31" s="4" t="inlineStr"/>
    </row>
    <row r="32" ht="18" customHeight="1">
      <c r="A32" s="8" t="n">
        <v>30</v>
      </c>
      <c r="B32" s="9" t="inlineStr">
        <is>
          <t>D 練習①（验收）</t>
        </is>
      </c>
      <c r="C32" s="9" t="inlineStr">
        <is>
          <t>特徴 4 つが正しいデータタイプ（容量＝数値／他＝文字）で登録されている</t>
        </is>
      </c>
      <c r="D32" s="8" t="inlineStr">
        <is>
          <t>handson-1.html</t>
        </is>
      </c>
      <c r="E32" s="9" t="inlineStr">
        <is>
          <t>特徴 4 つが正しいデータタイプ（容量＝数値／他＝文字）で登録されている</t>
        </is>
      </c>
      <c r="F32" s="8" t="n">
        <v>5</v>
      </c>
      <c r="G32" s="8" t="inlineStr"/>
      <c r="H32" s="7" t="inlineStr"/>
      <c r="I32" s="9" t="inlineStr"/>
    </row>
    <row r="33" ht="26" customHeight="1">
      <c r="A33" s="6" t="n">
        <v>31</v>
      </c>
      <c r="B33" s="4" t="inlineStr">
        <is>
          <t>D 練習①（验收）</t>
        </is>
      </c>
      <c r="C33" s="4" t="inlineStr">
        <is>
          <t>容量の許可値が 50 / 80 / 120、材質・塗装が各 3 値、付属品が 4 値になっている</t>
        </is>
      </c>
      <c r="D33" s="6" t="inlineStr">
        <is>
          <t>handson-1.html</t>
        </is>
      </c>
      <c r="E33" s="4" t="inlineStr">
        <is>
          <t>容量の許可値が 50 / 80 / 120、材質・塗装が各 3 値、付属品が 4 値になっている</t>
        </is>
      </c>
      <c r="F33" s="6" t="n">
        <v>5</v>
      </c>
      <c r="G33" s="6" t="inlineStr"/>
      <c r="H33" s="7" t="inlineStr"/>
      <c r="I33" s="4" t="inlineStr"/>
    </row>
    <row r="34" ht="18" customHeight="1">
      <c r="A34" s="8" t="n">
        <v>32</v>
      </c>
      <c r="B34" s="9" t="inlineStr">
        <is>
          <t>D 練習①（验收）</t>
        </is>
      </c>
      <c r="C34" s="9" t="inlineStr">
        <is>
          <t>ZVC_ACCESSORY の「複数値」が ON になっている</t>
        </is>
      </c>
      <c r="D34" s="8" t="inlineStr">
        <is>
          <t>handson-1.html</t>
        </is>
      </c>
      <c r="E34" s="9" t="inlineStr">
        <is>
          <t>ZVC_ACCESSORY の「複数値」が ON になっている</t>
        </is>
      </c>
      <c r="F34" s="8" t="n">
        <v>5</v>
      </c>
      <c r="G34" s="8" t="inlineStr"/>
      <c r="H34" s="7" t="inlineStr"/>
      <c r="I34" s="9" t="inlineStr"/>
    </row>
    <row r="35" ht="18" customHeight="1">
      <c r="A35" s="6" t="n">
        <v>33</v>
      </c>
      <c r="B35" s="4" t="inlineStr">
        <is>
          <t>D 練習①（验收）</t>
        </is>
      </c>
      <c r="C35" s="4" t="inlineStr">
        <is>
          <t>クラス ZVC_PUMP_CL がクラス型 300 で作られている</t>
        </is>
      </c>
      <c r="D35" s="6" t="inlineStr">
        <is>
          <t>handson-1.html</t>
        </is>
      </c>
      <c r="E35" s="4" t="inlineStr">
        <is>
          <t>クラス ZVC_PUMP_CL がクラス型 300 で作られている</t>
        </is>
      </c>
      <c r="F35" s="6" t="n">
        <v>5</v>
      </c>
      <c r="G35" s="6" t="inlineStr"/>
      <c r="H35" s="7" t="inlineStr"/>
      <c r="I35" s="4" t="inlineStr"/>
    </row>
    <row r="36" ht="18" customHeight="1">
      <c r="A36" s="8" t="n">
        <v>34</v>
      </c>
      <c r="B36" s="9" t="inlineStr">
        <is>
          <t>D 練習①（验收）</t>
        </is>
      </c>
      <c r="C36" s="9" t="inlineStr">
        <is>
          <t>クラスに 4 特徴が割当たり、必須が「容量・材質・塗装＝ON／付属品＝OFF」になっている</t>
        </is>
      </c>
      <c r="D36" s="8" t="inlineStr">
        <is>
          <t>handson-1.html</t>
        </is>
      </c>
      <c r="E36" s="9" t="inlineStr">
        <is>
          <t>クラスに 4 特徴が割当たり、必須が「容量・材質・塗装＝ON／付属品＝OFF」になっている</t>
        </is>
      </c>
      <c r="F36" s="8" t="n">
        <v>5</v>
      </c>
      <c r="G36" s="8" t="inlineStr"/>
      <c r="H36" s="7" t="inlineStr"/>
      <c r="I36" s="9" t="inlineStr"/>
    </row>
    <row r="37" ht="26" customHeight="1">
      <c r="A37" s="6" t="n">
        <v>35</v>
      </c>
      <c r="B37" s="4" t="inlineStr">
        <is>
          <t>D 練習①（验收）</t>
        </is>
      </c>
      <c r="C37" s="4" t="inlineStr">
        <is>
          <t>CL03 と CT04 の画面（または KLAH/CABN の SE16N）を自分の目で見て証跡として提示できる</t>
        </is>
      </c>
      <c r="D37" s="6" t="inlineStr">
        <is>
          <t>handson-1.html</t>
        </is>
      </c>
      <c r="E37" s="4" t="inlineStr">
        <is>
          <t>CL03 と CT04 の画面（または KLAH/CABN の SE16N）を自分の目で見て証跡として提示できる</t>
        </is>
      </c>
      <c r="F37" s="6" t="n">
        <v>5</v>
      </c>
      <c r="G37" s="6" t="inlineStr"/>
      <c r="H37" s="7" t="inlineStr"/>
      <c r="I37" s="4" t="inlineStr"/>
    </row>
    <row r="38" ht="26" customHeight="1">
      <c r="A38" s="8" t="n">
        <v>36</v>
      </c>
      <c r="B38" s="9" t="inlineStr">
        <is>
          <t>D 練習①（验收）</t>
        </is>
      </c>
      <c r="C38" s="9" t="inlineStr">
        <is>
          <t>「データタイプは後から変えられない」「必須フラグはクラス側で持つ」の 2 点を自分の言葉で説明できる</t>
        </is>
      </c>
      <c r="D38" s="8" t="inlineStr">
        <is>
          <t>handson-1.html</t>
        </is>
      </c>
      <c r="E38" s="9" t="inlineStr">
        <is>
          <t>「データタイプは後から変えられない」「必須フラグはクラス側で持つ」の 2 点を自分の言葉で説明できる</t>
        </is>
      </c>
      <c r="F38" s="8" t="n">
        <v>5</v>
      </c>
      <c r="G38" s="8" t="inlineStr"/>
      <c r="H38" s="7" t="inlineStr"/>
      <c r="I38" s="9" t="inlineStr"/>
    </row>
    <row r="39" ht="18" customHeight="1">
      <c r="A39" s="6" t="n">
        <v>37</v>
      </c>
      <c r="B39" s="4" t="inlineStr">
        <is>
          <t>E 練習②</t>
        </is>
      </c>
      <c r="C39" s="4" t="inlineStr">
        <is>
          <t>2-1 設定可能品目 ZVC-PUMP01 の登録（MM01）</t>
        </is>
      </c>
      <c r="D39" s="6" t="inlineStr">
        <is>
          <t>handson-2.html</t>
        </is>
      </c>
      <c r="E39" s="4" t="inlineStr">
        <is>
          <t>手順どおり操作し、「期待結果」の記載とシステムの状態が一致することを確認した</t>
        </is>
      </c>
      <c r="F39" s="6" t="n">
        <v>20</v>
      </c>
      <c r="G39" s="6" t="inlineStr"/>
      <c r="H39" s="7" t="inlineStr"/>
      <c r="I39" s="4" t="inlineStr"/>
    </row>
    <row r="40" ht="18" customHeight="1">
      <c r="A40" s="8" t="n">
        <v>38</v>
      </c>
      <c r="B40" s="9" t="inlineStr">
        <is>
          <t>E 練習②</t>
        </is>
      </c>
      <c r="C40" s="9" t="inlineStr">
        <is>
          <t>2-2 設定プロファイル ZVC_PROFILE01 の作成と割当（CU41 / PMEVC）</t>
        </is>
      </c>
      <c r="D40" s="8" t="inlineStr">
        <is>
          <t>handson-2.html</t>
        </is>
      </c>
      <c r="E40" s="9" t="inlineStr">
        <is>
          <t>手順どおり操作し、「期待結果」の記載とシステムの状態が一致することを確認した</t>
        </is>
      </c>
      <c r="F40" s="8" t="n">
        <v>20</v>
      </c>
      <c r="G40" s="8" t="inlineStr"/>
      <c r="H40" s="7" t="inlineStr"/>
      <c r="I40" s="9" t="inlineStr"/>
    </row>
    <row r="41" ht="18" customHeight="1">
      <c r="A41" s="6" t="n">
        <v>39</v>
      </c>
      <c r="B41" s="4" t="inlineStr">
        <is>
          <t>E 練習②</t>
        </is>
      </c>
      <c r="C41" s="4" t="inlineStr">
        <is>
          <t>2-3 初めての設定（CU50 シミュレーション）</t>
        </is>
      </c>
      <c r="D41" s="6" t="inlineStr">
        <is>
          <t>handson-2.html</t>
        </is>
      </c>
      <c r="E41" s="4" t="inlineStr">
        <is>
          <t>手順どおり操作し、「期待結果」の記載とシステムの状態が一致することを確認した</t>
        </is>
      </c>
      <c r="F41" s="6" t="n">
        <v>20</v>
      </c>
      <c r="G41" s="6" t="inlineStr"/>
      <c r="H41" s="7" t="inlineStr"/>
      <c r="I41" s="4" t="inlineStr"/>
    </row>
    <row r="42" ht="18" customHeight="1">
      <c r="A42" s="8" t="n">
        <v>40</v>
      </c>
      <c r="B42" s="9" t="inlineStr">
        <is>
          <t>E 練習②（验收）</t>
        </is>
      </c>
      <c r="C42" s="9" t="inlineStr">
        <is>
          <t>品目 ZVC-PUMP01 が品目タイプ KMAT で作成されている</t>
        </is>
      </c>
      <c r="D42" s="8" t="inlineStr">
        <is>
          <t>handson-2.html</t>
        </is>
      </c>
      <c r="E42" s="9" t="inlineStr">
        <is>
          <t>品目 ZVC-PUMP01 が品目タイプ KMAT で作成されている</t>
        </is>
      </c>
      <c r="F42" s="8" t="n">
        <v>5</v>
      </c>
      <c r="G42" s="8" t="inlineStr"/>
      <c r="H42" s="7" t="inlineStr"/>
      <c r="I42" s="9" t="inlineStr"/>
    </row>
    <row r="43" ht="18" customHeight="1">
      <c r="A43" s="6" t="n">
        <v>41</v>
      </c>
      <c r="B43" s="4" t="inlineStr">
        <is>
          <t>E 練習②（验收）</t>
        </is>
      </c>
      <c r="C43" s="4" t="inlineStr">
        <is>
          <t>設定可能（Configurable）インジケータが ON になっている</t>
        </is>
      </c>
      <c r="D43" s="6" t="inlineStr">
        <is>
          <t>handson-2.html</t>
        </is>
      </c>
      <c r="E43" s="4" t="inlineStr">
        <is>
          <t>設定可能（Configurable）インジケータが ON になっている</t>
        </is>
      </c>
      <c r="F43" s="6" t="n">
        <v>5</v>
      </c>
      <c r="G43" s="6" t="inlineStr"/>
      <c r="H43" s="7" t="inlineStr"/>
      <c r="I43" s="4" t="inlineStr"/>
    </row>
    <row r="44" ht="18" customHeight="1">
      <c r="A44" s="8" t="n">
        <v>42</v>
      </c>
      <c r="B44" s="9" t="inlineStr">
        <is>
          <t>E 練習②（验收）</t>
        </is>
      </c>
      <c r="C44" s="9" t="inlineStr">
        <is>
          <t>販売組織2 の品目カテゴリグループが 0002 になっている</t>
        </is>
      </c>
      <c r="D44" s="8" t="inlineStr">
        <is>
          <t>handson-2.html</t>
        </is>
      </c>
      <c r="E44" s="9" t="inlineStr">
        <is>
          <t>販売組織2 の品目カテゴリグループが 0002 になっている</t>
        </is>
      </c>
      <c r="F44" s="8" t="n">
        <v>5</v>
      </c>
      <c r="G44" s="8" t="inlineStr"/>
      <c r="H44" s="7" t="inlineStr"/>
      <c r="I44" s="9" t="inlineStr"/>
    </row>
    <row r="45" ht="26" customHeight="1">
      <c r="A45" s="6" t="n">
        <v>43</v>
      </c>
      <c r="B45" s="4" t="inlineStr">
        <is>
          <t>E 練習②（验收）</t>
        </is>
      </c>
      <c r="C45" s="4" t="inlineStr">
        <is>
          <t>MRP1 が PD/EX/手配タイプ E、MRP3 が戦略 25・在庫確認 02、MRP4 が個別所要量 1 になっている</t>
        </is>
      </c>
      <c r="D45" s="6" t="inlineStr">
        <is>
          <t>handson-2.html</t>
        </is>
      </c>
      <c r="E45" s="4" t="inlineStr">
        <is>
          <t>MRP1 が PD/EX/手配タイプ E、MRP3 が戦略 25・在庫確認 02、MRP4 が個別所要量 1 になっている</t>
        </is>
      </c>
      <c r="F45" s="6" t="n">
        <v>5</v>
      </c>
      <c r="G45" s="6" t="inlineStr"/>
      <c r="H45" s="7" t="inlineStr"/>
      <c r="I45" s="4" t="inlineStr"/>
    </row>
    <row r="46" ht="18" customHeight="1">
      <c r="A46" s="8" t="n">
        <v>44</v>
      </c>
      <c r="B46" s="9" t="inlineStr">
        <is>
          <t>E 練習②（验收）</t>
        </is>
      </c>
      <c r="C46" s="9" t="inlineStr">
        <is>
          <t>分類ビューにクラス ZVC_PUMP_CL（型 300）が割当たっている</t>
        </is>
      </c>
      <c r="D46" s="8" t="inlineStr">
        <is>
          <t>handson-2.html</t>
        </is>
      </c>
      <c r="E46" s="9" t="inlineStr">
        <is>
          <t>分類ビューにクラス ZVC_PUMP_CL（型 300）が割当たっている</t>
        </is>
      </c>
      <c r="F46" s="8" t="n">
        <v>5</v>
      </c>
      <c r="G46" s="8" t="inlineStr"/>
      <c r="H46" s="7" t="inlineStr"/>
      <c r="I46" s="9" t="inlineStr"/>
    </row>
    <row r="47" ht="26" customHeight="1">
      <c r="A47" s="6" t="n">
        <v>45</v>
      </c>
      <c r="B47" s="4" t="inlineStr">
        <is>
          <t>E 練習②（验收）</t>
        </is>
      </c>
      <c r="C47" s="4" t="inlineStr">
        <is>
          <t>設定プロファイル ZVC_PROFILE01 が品目 ZVC-PUMP01 に割当たり、処理形式と必須チェックの状態を説明できる</t>
        </is>
      </c>
      <c r="D47" s="6" t="inlineStr">
        <is>
          <t>handson-2.html</t>
        </is>
      </c>
      <c r="E47" s="4" t="inlineStr">
        <is>
          <t>設定プロファイル ZVC_PROFILE01 が品目 ZVC-PUMP01 に割当たり、処理形式と必須チェックの状態を説明できる</t>
        </is>
      </c>
      <c r="F47" s="6" t="n">
        <v>5</v>
      </c>
      <c r="G47" s="6" t="inlineStr"/>
      <c r="H47" s="7" t="inlineStr"/>
      <c r="I47" s="4" t="inlineStr"/>
    </row>
    <row r="48" ht="18" customHeight="1">
      <c r="A48" s="8" t="n">
        <v>46</v>
      </c>
      <c r="B48" s="9" t="inlineStr">
        <is>
          <t>E 練習②（验收）</t>
        </is>
      </c>
      <c r="C48" s="9" t="inlineStr">
        <is>
          <t>CU50 で 4 特徴が表示され、値を選び、必須エラーの挙動を確認した</t>
        </is>
      </c>
      <c r="D48" s="8" t="inlineStr">
        <is>
          <t>handson-2.html</t>
        </is>
      </c>
      <c r="E48" s="9" t="inlineStr">
        <is>
          <t>CU50 で 4 特徴が表示され、値を選び、必須エラーの挙動を確認した</t>
        </is>
      </c>
      <c r="F48" s="8" t="n">
        <v>5</v>
      </c>
      <c r="G48" s="8" t="inlineStr"/>
      <c r="H48" s="7" t="inlineStr"/>
      <c r="I48" s="9" t="inlineStr"/>
    </row>
    <row r="49" ht="26" customHeight="1">
      <c r="A49" s="6" t="n">
        <v>47</v>
      </c>
      <c r="B49" s="4" t="inlineStr">
        <is>
          <t>E 練習②（验收）</t>
        </is>
      </c>
      <c r="C49" s="4" t="inlineStr">
        <is>
          <t>「受注できる 5 条件」を自分の言葉で言える（KMAT／設定可能 ON／0002／戦略 25／MRP4 個別所要量）</t>
        </is>
      </c>
      <c r="D49" s="6" t="inlineStr">
        <is>
          <t>handson-2.html</t>
        </is>
      </c>
      <c r="E49" s="4" t="inlineStr">
        <is>
          <t>「受注できる 5 条件」を自分の言葉で言える（KMAT／設定可能 ON／0002／戦略 25／MRP4 個別所要量）</t>
        </is>
      </c>
      <c r="F49" s="6" t="n">
        <v>5</v>
      </c>
      <c r="G49" s="6" t="inlineStr"/>
      <c r="H49" s="7" t="inlineStr"/>
      <c r="I49" s="4" t="inlineStr"/>
    </row>
    <row r="50" ht="18" customHeight="1">
      <c r="A50" s="8" t="n">
        <v>48</v>
      </c>
      <c r="B50" s="9" t="inlineStr">
        <is>
          <t>F 練習③</t>
        </is>
      </c>
      <c r="C50" s="9" t="inlineStr">
        <is>
          <t>3-1 部品品目の準備（MM01）</t>
        </is>
      </c>
      <c r="D50" s="8" t="inlineStr">
        <is>
          <t>handson-3.html</t>
        </is>
      </c>
      <c r="E50" s="9" t="inlineStr">
        <is>
          <t>手順どおり操作し、「期待結果」の記載とシステムの状態が一致することを確認した</t>
        </is>
      </c>
      <c r="F50" s="8" t="n">
        <v>20</v>
      </c>
      <c r="G50" s="8" t="inlineStr"/>
      <c r="H50" s="7" t="inlineStr"/>
      <c r="I50" s="9" t="inlineStr"/>
    </row>
    <row r="51" ht="18" customHeight="1">
      <c r="A51" s="6" t="n">
        <v>49</v>
      </c>
      <c r="B51" s="4" t="inlineStr">
        <is>
          <t>F 練習③</t>
        </is>
      </c>
      <c r="C51" s="4" t="inlineStr">
        <is>
          <t>3-2 スーパー BOM の登録（CS01）— 「全部入れて、後で絞る」</t>
        </is>
      </c>
      <c r="D51" s="6" t="inlineStr">
        <is>
          <t>handson-3.html</t>
        </is>
      </c>
      <c r="E51" s="4" t="inlineStr">
        <is>
          <t>手順どおり操作し、「期待結果」の記載とシステムの状態が一致することを確認した</t>
        </is>
      </c>
      <c r="F51" s="6" t="n">
        <v>20</v>
      </c>
      <c r="G51" s="6" t="inlineStr"/>
      <c r="H51" s="7" t="inlineStr"/>
      <c r="I51" s="4" t="inlineStr"/>
    </row>
    <row r="52" ht="18" customHeight="1">
      <c r="A52" s="8" t="n">
        <v>50</v>
      </c>
      <c r="B52" s="9" t="inlineStr">
        <is>
          <t>F 練習③</t>
        </is>
      </c>
      <c r="C52" s="9" t="inlineStr">
        <is>
          <t>3-3 依存関係の作成（CU01〜CU03）</t>
        </is>
      </c>
      <c r="D52" s="8" t="inlineStr">
        <is>
          <t>handson-3.html</t>
        </is>
      </c>
      <c r="E52" s="9" t="inlineStr">
        <is>
          <t>手順どおり操作し、「期待結果」の記載とシステムの状態が一致することを確認した</t>
        </is>
      </c>
      <c r="F52" s="8" t="n">
        <v>20</v>
      </c>
      <c r="G52" s="8" t="inlineStr"/>
      <c r="H52" s="7" t="inlineStr"/>
      <c r="I52" s="9" t="inlineStr"/>
    </row>
    <row r="53" ht="18" customHeight="1">
      <c r="A53" s="6" t="n">
        <v>51</v>
      </c>
      <c r="B53" s="4" t="inlineStr">
        <is>
          <t>F 練習③</t>
        </is>
      </c>
      <c r="C53" s="4" t="inlineStr">
        <is>
          <t>3-4 数量を設定値で変える（容量 120 → モータ 2 台）</t>
        </is>
      </c>
      <c r="D53" s="6" t="inlineStr">
        <is>
          <t>handson-3.html</t>
        </is>
      </c>
      <c r="E53" s="4" t="inlineStr">
        <is>
          <t>手順どおり操作し、「期待結果」の記載とシステムの状態が一致することを確認した</t>
        </is>
      </c>
      <c r="F53" s="6" t="n">
        <v>20</v>
      </c>
      <c r="G53" s="6" t="inlineStr"/>
      <c r="H53" s="7" t="inlineStr"/>
      <c r="I53" s="4" t="inlineStr"/>
    </row>
    <row r="54" ht="18" customHeight="1">
      <c r="A54" s="8" t="n">
        <v>52</v>
      </c>
      <c r="B54" s="9" t="inlineStr">
        <is>
          <t>F 練習③</t>
        </is>
      </c>
      <c r="C54" s="9" t="inlineStr">
        <is>
          <t>3-5 CU50 で BOM 展開の切替を確認する（本练习のクライマックス）</t>
        </is>
      </c>
      <c r="D54" s="8" t="inlineStr">
        <is>
          <t>handson-3.html</t>
        </is>
      </c>
      <c r="E54" s="9" t="inlineStr">
        <is>
          <t>手順どおり操作し、「期待結果」の記載とシステムの状態が一致することを確認した</t>
        </is>
      </c>
      <c r="F54" s="8" t="n">
        <v>20</v>
      </c>
      <c r="G54" s="8" t="inlineStr"/>
      <c r="H54" s="7" t="inlineStr"/>
      <c r="I54" s="9" t="inlineStr"/>
    </row>
    <row r="55" ht="18" customHeight="1">
      <c r="A55" s="6" t="n">
        <v>53</v>
      </c>
      <c r="B55" s="4" t="inlineStr">
        <is>
          <t>F 練習③（验收）</t>
        </is>
      </c>
      <c r="C55" s="4" t="inlineStr">
        <is>
          <t>部品 8 品目が作成され、MMBE で在庫（または在庫ゼロでも状態）を確認した</t>
        </is>
      </c>
      <c r="D55" s="6" t="inlineStr">
        <is>
          <t>handson-3.html</t>
        </is>
      </c>
      <c r="E55" s="4" t="inlineStr">
        <is>
          <t>部品 8 品目が作成され、MMBE で在庫（または在庫ゼロでも状態）を確認した</t>
        </is>
      </c>
      <c r="F55" s="6" t="n">
        <v>5</v>
      </c>
      <c r="G55" s="6" t="inlineStr"/>
      <c r="H55" s="7" t="inlineStr"/>
      <c r="I55" s="4" t="inlineStr"/>
    </row>
    <row r="56" ht="26" customHeight="1">
      <c r="A56" s="8" t="n">
        <v>54</v>
      </c>
      <c r="B56" s="9" t="inlineStr">
        <is>
          <t>F 練習③（验收）</t>
        </is>
      </c>
      <c r="C56" s="9" t="inlineStr">
        <is>
          <t>CS01 のスーパー BOM に 8 明細（ケーシング 3 行を含む）があり、有効日が受注日より前</t>
        </is>
      </c>
      <c r="D56" s="8" t="inlineStr">
        <is>
          <t>handson-3.html</t>
        </is>
      </c>
      <c r="E56" s="9" t="inlineStr">
        <is>
          <t>CS01 のスーパー BOM に 8 明細（ケーシング 3 行を含む）があり、有効日が受注日より前</t>
        </is>
      </c>
      <c r="F56" s="8" t="n">
        <v>5</v>
      </c>
      <c r="G56" s="8" t="inlineStr"/>
      <c r="H56" s="7" t="inlineStr"/>
      <c r="I56" s="9" t="inlineStr"/>
    </row>
    <row r="57" ht="26" customHeight="1">
      <c r="A57" s="6" t="n">
        <v>55</v>
      </c>
      <c r="B57" s="4" t="inlineStr">
        <is>
          <t>F 練習③（验收）</t>
        </is>
      </c>
      <c r="C57" s="4" t="inlineStr">
        <is>
          <t>前提条件 ZVC_DEP_EPOXY_MAT が特徴値 EPOXY に貼られ、CU50 で FC200＋EPOXY が成立しない</t>
        </is>
      </c>
      <c r="D57" s="6" t="inlineStr">
        <is>
          <t>handson-3.html</t>
        </is>
      </c>
      <c r="E57" s="4" t="inlineStr">
        <is>
          <t>前提条件 ZVC_DEP_EPOXY_MAT が特徴値 EPOXY に貼られ、CU50 で FC200＋EPOXY が成立しない</t>
        </is>
      </c>
      <c r="F57" s="6" t="n">
        <v>5</v>
      </c>
      <c r="G57" s="6" t="inlineStr"/>
      <c r="H57" s="7" t="inlineStr"/>
      <c r="I57" s="4" t="inlineStr"/>
    </row>
    <row r="58" ht="26" customHeight="1">
      <c r="A58" s="8" t="n">
        <v>56</v>
      </c>
      <c r="B58" s="9" t="inlineStr">
        <is>
          <t>F 練習③（验收）</t>
        </is>
      </c>
      <c r="C58" s="9" t="inlineStr">
        <is>
          <t>選択条件が BOM 明細（ケーシング 3・圧力計・流量計）に貼られ、CU50 で取捨が変わる</t>
        </is>
      </c>
      <c r="D58" s="8" t="inlineStr">
        <is>
          <t>handson-3.html</t>
        </is>
      </c>
      <c r="E58" s="9" t="inlineStr">
        <is>
          <t>選択条件が BOM 明細（ケーシング 3・圧力計・流量計）に貼られ、CU50 で取捨が変わる</t>
        </is>
      </c>
      <c r="F58" s="8" t="n">
        <v>5</v>
      </c>
      <c r="G58" s="8" t="inlineStr"/>
      <c r="H58" s="7" t="inlineStr"/>
      <c r="I58" s="9" t="inlineStr"/>
    </row>
    <row r="59" ht="18" customHeight="1">
      <c r="A59" s="6" t="n">
        <v>57</v>
      </c>
      <c r="B59" s="4" t="inlineStr">
        <is>
          <t>F 練習③（验收）</t>
        </is>
      </c>
      <c r="C59" s="4" t="inlineStr">
        <is>
          <t>工程 0030 に選択条件が貼られ、塗装 NONE で消える</t>
        </is>
      </c>
      <c r="D59" s="6" t="inlineStr">
        <is>
          <t>handson-3.html</t>
        </is>
      </c>
      <c r="E59" s="4" t="inlineStr">
        <is>
          <t>工程 0030 に選択条件が貼られ、塗装 NONE で消える</t>
        </is>
      </c>
      <c r="F59" s="6" t="n">
        <v>5</v>
      </c>
      <c r="G59" s="6" t="inlineStr"/>
      <c r="H59" s="7" t="inlineStr"/>
      <c r="I59" s="4" t="inlineStr"/>
    </row>
    <row r="60" ht="26" customHeight="1">
      <c r="A60" s="8" t="n">
        <v>58</v>
      </c>
      <c r="B60" s="9" t="inlineStr">
        <is>
          <t>F 練習③（验收）</t>
        </is>
      </c>
      <c r="C60" s="9" t="inlineStr">
        <is>
          <t>容量 120 でモータ数量が 2 になる（方式 A または B のどちらかで、方式の違いを説明できる）</t>
        </is>
      </c>
      <c r="D60" s="8" t="inlineStr">
        <is>
          <t>handson-3.html</t>
        </is>
      </c>
      <c r="E60" s="9" t="inlineStr">
        <is>
          <t>容量 120 でモータ数量が 2 になる（方式 A または B のどちらかで、方式の違いを説明できる）</t>
        </is>
      </c>
      <c r="F60" s="8" t="n">
        <v>5</v>
      </c>
      <c r="G60" s="8" t="inlineStr"/>
      <c r="H60" s="7" t="inlineStr"/>
      <c r="I60" s="9" t="inlineStr"/>
    </row>
    <row r="61" ht="18" customHeight="1">
      <c r="A61" s="6" t="n">
        <v>59</v>
      </c>
      <c r="B61" s="4" t="inlineStr">
        <is>
          <t>F 練習③（验收）</t>
        </is>
      </c>
      <c r="C61" s="4" t="inlineStr">
        <is>
          <t>CU50 で BOM 展開の切替（しない／1 階層）の差を自分の目で確認した</t>
        </is>
      </c>
      <c r="D61" s="6" t="inlineStr">
        <is>
          <t>handson-3.html</t>
        </is>
      </c>
      <c r="E61" s="4" t="inlineStr">
        <is>
          <t>CU50 で BOM 展開の切替（しない／1 階層）の差を自分の目で確認した</t>
        </is>
      </c>
      <c r="F61" s="6" t="n">
        <v>5</v>
      </c>
      <c r="G61" s="6" t="inlineStr"/>
      <c r="H61" s="7" t="inlineStr"/>
      <c r="I61" s="4" t="inlineStr"/>
    </row>
    <row r="62" ht="18" customHeight="1">
      <c r="A62" s="8" t="n">
        <v>60</v>
      </c>
      <c r="B62" s="9" t="inlineStr">
        <is>
          <t>F 練習③（验收）</t>
        </is>
      </c>
      <c r="C62" s="9" t="inlineStr">
        <is>
          <t>CU03 の「使用箇所一覧」を見せて、各依存関係の適用先を説明できる</t>
        </is>
      </c>
      <c r="D62" s="8" t="inlineStr">
        <is>
          <t>handson-3.html</t>
        </is>
      </c>
      <c r="E62" s="9" t="inlineStr">
        <is>
          <t>CU03 の「使用箇所一覧」を見せて、各依存関係の適用先を説明できる</t>
        </is>
      </c>
      <c r="F62" s="8" t="n">
        <v>5</v>
      </c>
      <c r="G62" s="8" t="inlineStr"/>
      <c r="H62" s="7" t="inlineStr"/>
      <c r="I62" s="9" t="inlineStr"/>
    </row>
    <row r="63" ht="18" customHeight="1">
      <c r="A63" s="6" t="n">
        <v>61</v>
      </c>
      <c r="B63" s="4" t="inlineStr">
        <is>
          <t>F 練習③（验收）</t>
        </is>
      </c>
      <c r="C63" s="4" t="inlineStr">
        <is>
          <t>4 通りの構成の BOM 展開結果を シート C に記録した</t>
        </is>
      </c>
      <c r="D63" s="6" t="inlineStr">
        <is>
          <t>handson-3.html</t>
        </is>
      </c>
      <c r="E63" s="4" t="inlineStr">
        <is>
          <t>4 通りの構成の BOM 展開結果を シート C に記録した</t>
        </is>
      </c>
      <c r="F63" s="6" t="n">
        <v>5</v>
      </c>
      <c r="G63" s="6" t="inlineStr"/>
      <c r="H63" s="7" t="inlineStr"/>
      <c r="I63" s="4" t="inlineStr"/>
    </row>
    <row r="64" ht="18" customHeight="1">
      <c r="A64" s="8" t="n">
        <v>62</v>
      </c>
      <c r="B64" s="9" t="inlineStr">
        <is>
          <t>G 練習④</t>
        </is>
      </c>
      <c r="C64" s="9" t="inlineStr">
        <is>
          <t>4-1 受注登録と構成入力（VA01）</t>
        </is>
      </c>
      <c r="D64" s="8" t="inlineStr">
        <is>
          <t>handson-4.html</t>
        </is>
      </c>
      <c r="E64" s="9" t="inlineStr">
        <is>
          <t>手順どおり操作し、「期待結果」の記載とシステムの状態が一致することを確認した</t>
        </is>
      </c>
      <c r="F64" s="8" t="n">
        <v>20</v>
      </c>
      <c r="G64" s="8" t="inlineStr"/>
      <c r="H64" s="7" t="inlineStr"/>
      <c r="I64" s="9" t="inlineStr"/>
    </row>
    <row r="65" ht="18" customHeight="1">
      <c r="A65" s="6" t="n">
        <v>63</v>
      </c>
      <c r="B65" s="4" t="inlineStr">
        <is>
          <t>G 練習④</t>
        </is>
      </c>
      <c r="C65" s="4" t="inlineStr">
        <is>
          <t>4-2 変種価格の確認（条件画面）</t>
        </is>
      </c>
      <c r="D65" s="6" t="inlineStr">
        <is>
          <t>handson-4.html</t>
        </is>
      </c>
      <c r="E65" s="4" t="inlineStr">
        <is>
          <t>手順どおり操作し、「期待結果」の記載とシステムの状態が一致することを確認した</t>
        </is>
      </c>
      <c r="F65" s="6" t="n">
        <v>20</v>
      </c>
      <c r="G65" s="6" t="inlineStr"/>
      <c r="H65" s="7" t="inlineStr"/>
      <c r="I65" s="4" t="inlineStr"/>
    </row>
    <row r="66" ht="18" customHeight="1">
      <c r="A66" s="8" t="n">
        <v>64</v>
      </c>
      <c r="B66" s="9" t="inlineStr">
        <is>
          <t>G 練習④</t>
        </is>
      </c>
      <c r="C66" s="9" t="inlineStr">
        <is>
          <t>4-3 所要量と MRP（MD04 / MD01N）</t>
        </is>
      </c>
      <c r="D66" s="8" t="inlineStr">
        <is>
          <t>handson-4.html</t>
        </is>
      </c>
      <c r="E66" s="9" t="inlineStr">
        <is>
          <t>手順どおり操作し、「期待結果」の記載とシステムの状態が一致することを確認した</t>
        </is>
      </c>
      <c r="F66" s="8" t="n">
        <v>20</v>
      </c>
      <c r="G66" s="8" t="inlineStr"/>
      <c r="H66" s="7" t="inlineStr"/>
      <c r="I66" s="9" t="inlineStr"/>
    </row>
    <row r="67" ht="18" customHeight="1">
      <c r="A67" s="6" t="n">
        <v>65</v>
      </c>
      <c r="B67" s="4" t="inlineStr">
        <is>
          <t>G 練習④</t>
        </is>
      </c>
      <c r="C67" s="4" t="inlineStr">
        <is>
          <t>4-4 製造指図への設定値伝搬（CO40 / CO08 / CO03）</t>
        </is>
      </c>
      <c r="D67" s="6" t="inlineStr">
        <is>
          <t>handson-4.html</t>
        </is>
      </c>
      <c r="E67" s="4" t="inlineStr">
        <is>
          <t>手順どおり操作し、「期待結果」の記載とシステムの状態が一致することを確認した</t>
        </is>
      </c>
      <c r="F67" s="6" t="n">
        <v>20</v>
      </c>
      <c r="G67" s="6" t="inlineStr"/>
      <c r="H67" s="7" t="inlineStr"/>
      <c r="I67" s="4" t="inlineStr"/>
    </row>
    <row r="68" ht="18" customHeight="1">
      <c r="A68" s="8" t="n">
        <v>66</v>
      </c>
      <c r="B68" s="9" t="inlineStr">
        <is>
          <t>G 練習④</t>
        </is>
      </c>
      <c r="C68" s="9" t="inlineStr">
        <is>
          <t>4-5 部品出庫・製造実績・完成入庫（261 / CO11N / 101）</t>
        </is>
      </c>
      <c r="D68" s="8" t="inlineStr">
        <is>
          <t>handson-4.html</t>
        </is>
      </c>
      <c r="E68" s="9" t="inlineStr">
        <is>
          <t>手順どおり操作し、「期待結果」の記載とシステムの状態が一致することを確認した</t>
        </is>
      </c>
      <c r="F68" s="8" t="n">
        <v>20</v>
      </c>
      <c r="G68" s="8" t="inlineStr"/>
      <c r="H68" s="7" t="inlineStr"/>
      <c r="I68" s="9" t="inlineStr"/>
    </row>
    <row r="69" ht="18" customHeight="1">
      <c r="A69" s="6" t="n">
        <v>67</v>
      </c>
      <c r="B69" s="4" t="inlineStr">
        <is>
          <t>G 練習④</t>
        </is>
      </c>
      <c r="C69" s="4" t="inlineStr">
        <is>
          <t>4-6 出荷・出庫確認（VL01N / VL02N・601）</t>
        </is>
      </c>
      <c r="D69" s="6" t="inlineStr">
        <is>
          <t>handson-4.html</t>
        </is>
      </c>
      <c r="E69" s="4" t="inlineStr">
        <is>
          <t>手順どおり操作し、「期待結果」の記載とシステムの状態が一致することを確認した</t>
        </is>
      </c>
      <c r="F69" s="6" t="n">
        <v>20</v>
      </c>
      <c r="G69" s="6" t="inlineStr"/>
      <c r="H69" s="7" t="inlineStr"/>
      <c r="I69" s="4" t="inlineStr"/>
    </row>
    <row r="70" ht="18" customHeight="1">
      <c r="A70" s="8" t="n">
        <v>68</v>
      </c>
      <c r="B70" s="9" t="inlineStr">
        <is>
          <t>G 練習④</t>
        </is>
      </c>
      <c r="C70" s="9" t="inlineStr">
        <is>
          <t>4-7 請求と伝票フロー（VF01）</t>
        </is>
      </c>
      <c r="D70" s="8" t="inlineStr">
        <is>
          <t>handson-4.html</t>
        </is>
      </c>
      <c r="E70" s="9" t="inlineStr">
        <is>
          <t>手順どおり操作し、「期待結果」の記載とシステムの状態が一致することを確認した</t>
        </is>
      </c>
      <c r="F70" s="8" t="n">
        <v>20</v>
      </c>
      <c r="G70" s="8" t="inlineStr"/>
      <c r="H70" s="7" t="inlineStr"/>
      <c r="I70" s="9" t="inlineStr"/>
    </row>
    <row r="71" ht="26" customHeight="1">
      <c r="A71" s="6" t="n">
        <v>69</v>
      </c>
      <c r="B71" s="4" t="inlineStr">
        <is>
          <t>G 練習④（验收）</t>
        </is>
      </c>
      <c r="C71" s="4" t="inlineStr">
        <is>
          <t>受注 ZVC-PUMP01 × 10 台が登録され、構成値（80/SUS316/EPOXY/PG_FG）が保存されている</t>
        </is>
      </c>
      <c r="D71" s="6" t="inlineStr">
        <is>
          <t>handson-4.html</t>
        </is>
      </c>
      <c r="E71" s="4" t="inlineStr">
        <is>
          <t>受注 ZVC-PUMP01 × 10 台が登録され、構成値（80/SUS316/EPOXY/PG_FG）が保存されている</t>
        </is>
      </c>
      <c r="F71" s="6" t="n">
        <v>5</v>
      </c>
      <c r="G71" s="6" t="inlineStr"/>
      <c r="H71" s="7" t="inlineStr"/>
      <c r="I71" s="4" t="inlineStr"/>
    </row>
    <row r="72" ht="26" customHeight="1">
      <c r="A72" s="8" t="n">
        <v>70</v>
      </c>
      <c r="B72" s="9" t="inlineStr">
        <is>
          <t>G 練習④（验收）</t>
        </is>
      </c>
      <c r="C72" s="9" t="inlineStr">
        <is>
          <t>受注明細の「構成品目（受注 BOM）」が構成どおり（ケーシング SUS316 のみ・圧力計/流量計あり）</t>
        </is>
      </c>
      <c r="D72" s="8" t="inlineStr">
        <is>
          <t>handson-4.html</t>
        </is>
      </c>
      <c r="E72" s="9" t="inlineStr">
        <is>
          <t>受注明細の「構成品目（受注 BOM）」が構成どおり（ケーシング SUS316 のみ・圧力計/流量計あり）</t>
        </is>
      </c>
      <c r="F72" s="8" t="n">
        <v>5</v>
      </c>
      <c r="G72" s="8" t="inlineStr"/>
      <c r="H72" s="7" t="inlineStr"/>
      <c r="I72" s="9" t="inlineStr"/>
    </row>
    <row r="73" ht="18" customHeight="1">
      <c r="A73" s="6" t="n">
        <v>71</v>
      </c>
      <c r="B73" s="4" t="inlineStr">
        <is>
          <t>G 練習④（验收）</t>
        </is>
      </c>
      <c r="C73" s="4" t="inlineStr">
        <is>
          <t>条件画面に VA00 の加算行があり、キーに設定値が入っている</t>
        </is>
      </c>
      <c r="D73" s="6" t="inlineStr">
        <is>
          <t>handson-4.html</t>
        </is>
      </c>
      <c r="E73" s="4" t="inlineStr">
        <is>
          <t>条件画面に VA00 の加算行があり、キーに設定値が入っている</t>
        </is>
      </c>
      <c r="F73" s="6" t="n">
        <v>5</v>
      </c>
      <c r="G73" s="6" t="inlineStr"/>
      <c r="H73" s="7" t="inlineStr"/>
      <c r="I73" s="4" t="inlineStr"/>
    </row>
    <row r="74" ht="18" customHeight="1">
      <c r="A74" s="8" t="n">
        <v>72</v>
      </c>
      <c r="B74" s="9" t="inlineStr">
        <is>
          <t>G 練習④（验收）</t>
        </is>
      </c>
      <c r="C74" s="9" t="inlineStr">
        <is>
          <t>MD04 に得意先所要量が出て、計画手配の在庫区分が受注在庫（E）になっている</t>
        </is>
      </c>
      <c r="D74" s="8" t="inlineStr">
        <is>
          <t>handson-4.html</t>
        </is>
      </c>
      <c r="E74" s="9" t="inlineStr">
        <is>
          <t>MD04 に得意先所要量が出て、計画手配の在庫区分が受注在庫（E）になっている</t>
        </is>
      </c>
      <c r="F74" s="8" t="n">
        <v>5</v>
      </c>
      <c r="G74" s="8" t="inlineStr"/>
      <c r="H74" s="7" t="inlineStr"/>
      <c r="I74" s="9" t="inlineStr"/>
    </row>
    <row r="75" ht="18" customHeight="1">
      <c r="A75" s="6" t="n">
        <v>73</v>
      </c>
      <c r="B75" s="4" t="inlineStr">
        <is>
          <t>G 練習④（验收）</t>
        </is>
      </c>
      <c r="C75" s="4" t="inlineStr">
        <is>
          <t>MMBE で受注在庫（E）の行を提示できる</t>
        </is>
      </c>
      <c r="D75" s="6" t="inlineStr">
        <is>
          <t>handson-4.html</t>
        </is>
      </c>
      <c r="E75" s="4" t="inlineStr">
        <is>
          <t>MMBE で受注在庫（E）の行を提示できる</t>
        </is>
      </c>
      <c r="F75" s="6" t="n">
        <v>5</v>
      </c>
      <c r="G75" s="6" t="inlineStr"/>
      <c r="H75" s="7" t="inlineStr"/>
      <c r="I75" s="4" t="inlineStr"/>
    </row>
    <row r="76" ht="18" customHeight="1">
      <c r="A76" s="8" t="n">
        <v>74</v>
      </c>
      <c r="B76" s="9" t="inlineStr">
        <is>
          <t>G 練習④（验收）</t>
        </is>
      </c>
      <c r="C76" s="9" t="inlineStr">
        <is>
          <t>製造指図の「構成」に設定値が伝搬し、構成品目・工程が受注 BOM と一致している</t>
        </is>
      </c>
      <c r="D76" s="8" t="inlineStr">
        <is>
          <t>handson-4.html</t>
        </is>
      </c>
      <c r="E76" s="9" t="inlineStr">
        <is>
          <t>製造指図の「構成」に設定値が伝搬し、構成品目・工程が受注 BOM と一致している</t>
        </is>
      </c>
      <c r="F76" s="8" t="n">
        <v>5</v>
      </c>
      <c r="G76" s="8" t="inlineStr"/>
      <c r="H76" s="7" t="inlineStr"/>
      <c r="I76" s="9" t="inlineStr"/>
    </row>
    <row r="77" ht="26" customHeight="1">
      <c r="A77" s="6" t="n">
        <v>75</v>
      </c>
      <c r="B77" s="4" t="inlineStr">
        <is>
          <t>G 練習④（验收）</t>
        </is>
      </c>
      <c r="C77" s="4" t="inlineStr">
        <is>
          <t>261 で部品出庫 → CO11N で歩留 10 → 101 で受注在庫 E に 10 PC 入庫した</t>
        </is>
      </c>
      <c r="D77" s="6" t="inlineStr">
        <is>
          <t>handson-4.html</t>
        </is>
      </c>
      <c r="E77" s="4" t="inlineStr">
        <is>
          <t>261 で部品出庫 → CO11N で歩留 10 → 101 で受注在庫 E に 10 PC 入庫した</t>
        </is>
      </c>
      <c r="F77" s="6" t="n">
        <v>5</v>
      </c>
      <c r="G77" s="6" t="inlineStr"/>
      <c r="H77" s="7" t="inlineStr"/>
      <c r="I77" s="4" t="inlineStr"/>
    </row>
    <row r="78" ht="18" customHeight="1">
      <c r="A78" s="8" t="n">
        <v>76</v>
      </c>
      <c r="B78" s="9" t="inlineStr">
        <is>
          <t>G 練習④（验收）</t>
        </is>
      </c>
      <c r="C78" s="9" t="inlineStr">
        <is>
          <t>VL01N で在庫区分 E・引当 10、VL02N の 601 で受注在庫が 0 になった</t>
        </is>
      </c>
      <c r="D78" s="8" t="inlineStr">
        <is>
          <t>handson-4.html</t>
        </is>
      </c>
      <c r="E78" s="9" t="inlineStr">
        <is>
          <t>VL01N で在庫区分 E・引当 10、VL02N の 601 で受注在庫が 0 になった</t>
        </is>
      </c>
      <c r="F78" s="8" t="n">
        <v>5</v>
      </c>
      <c r="G78" s="8" t="inlineStr"/>
      <c r="H78" s="7" t="inlineStr"/>
      <c r="I78" s="9" t="inlineStr"/>
    </row>
    <row r="79" ht="26" customHeight="1">
      <c r="A79" s="6" t="n">
        <v>77</v>
      </c>
      <c r="B79" s="4" t="inlineStr">
        <is>
          <t>G 練習④（验收）</t>
        </is>
      </c>
      <c r="C79" s="4" t="inlineStr">
        <is>
          <t>VF01 の請求に PR00＋VA00 の金額が乗り、伝票フローが受注→出荷→請求→会計で完結している</t>
        </is>
      </c>
      <c r="D79" s="6" t="inlineStr">
        <is>
          <t>handson-4.html</t>
        </is>
      </c>
      <c r="E79" s="4" t="inlineStr">
        <is>
          <t>VF01 の請求に PR00＋VA00 の金額が乗り、伝票フローが受注→出荷→請求→会計で完結している</t>
        </is>
      </c>
      <c r="F79" s="6" t="n">
        <v>5</v>
      </c>
      <c r="G79" s="6" t="inlineStr"/>
      <c r="H79" s="7" t="inlineStr"/>
      <c r="I79" s="4" t="inlineStr"/>
    </row>
    <row r="80" ht="18" customHeight="1">
      <c r="A80" s="8" t="n">
        <v>78</v>
      </c>
      <c r="B80" s="9" t="inlineStr">
        <is>
          <t>G 練習④（验收）</t>
        </is>
      </c>
      <c r="C80" s="9" t="inlineStr">
        <is>
          <t>受注番号・指図番号・出荷番号・請求番号を シート B に記録した</t>
        </is>
      </c>
      <c r="D80" s="8" t="inlineStr">
        <is>
          <t>handson-4.html</t>
        </is>
      </c>
      <c r="E80" s="9" t="inlineStr">
        <is>
          <t>受注番号・指図番号・出荷番号・請求番号を シート B に記録した</t>
        </is>
      </c>
      <c r="F80" s="8" t="n">
        <v>5</v>
      </c>
      <c r="G80" s="8" t="inlineStr"/>
      <c r="H80" s="7" t="inlineStr"/>
      <c r="I80" s="9" t="inlineStr"/>
    </row>
    <row r="81" ht="18" customHeight="1">
      <c r="A81" s="6" t="n">
        <v>79</v>
      </c>
      <c r="B81" s="4" t="inlineStr">
        <is>
          <t>H 練習⑤（発展・故障）</t>
        </is>
      </c>
      <c r="C81" s="4" t="inlineStr">
        <is>
          <t>5-1 変更統制：受注後に構成を変えたら何が起きるか</t>
        </is>
      </c>
      <c r="D81" s="6" t="inlineStr">
        <is>
          <t>handson-5.html</t>
        </is>
      </c>
      <c r="E81" s="4" t="inlineStr">
        <is>
          <t>手順どおり操作し、「期待結果」の記載とシステムの状態が一致することを確認した</t>
        </is>
      </c>
      <c r="F81" s="6" t="n">
        <v>20</v>
      </c>
      <c r="G81" s="6" t="inlineStr"/>
      <c r="H81" s="7" t="inlineStr"/>
      <c r="I81" s="4" t="inlineStr"/>
    </row>
    <row r="82" ht="18" customHeight="1">
      <c r="A82" s="8" t="n">
        <v>80</v>
      </c>
      <c r="B82" s="9" t="inlineStr">
        <is>
          <t>H 練習⑤（発展・故障）</t>
        </is>
      </c>
      <c r="C82" s="9" t="inlineStr">
        <is>
          <t>5-2 戦略 82（受注組立）への切替 — 受注と指図が 1:1</t>
        </is>
      </c>
      <c r="D82" s="8" t="inlineStr">
        <is>
          <t>handson-5.html</t>
        </is>
      </c>
      <c r="E82" s="9" t="inlineStr">
        <is>
          <t>手順どおり操作し、「期待結果」の記載とシステムの状態が一致することを確認した</t>
        </is>
      </c>
      <c r="F82" s="8" t="n">
        <v>20</v>
      </c>
      <c r="G82" s="8" t="inlineStr"/>
      <c r="H82" s="7" t="inlineStr"/>
      <c r="I82" s="9" t="inlineStr"/>
    </row>
    <row r="83" ht="18" customHeight="1">
      <c r="A83" s="6" t="n">
        <v>81</v>
      </c>
      <c r="B83" s="4" t="inlineStr">
        <is>
          <t>H 練習⑤（発展・故障）</t>
        </is>
      </c>
      <c r="C83" s="4" t="inlineStr">
        <is>
          <t>5-3 故障対応の 3 画面（CU50 / CU03 / CU02 の読み方）</t>
        </is>
      </c>
      <c r="D83" s="6" t="inlineStr">
        <is>
          <t>handson-5.html</t>
        </is>
      </c>
      <c r="E83" s="4" t="inlineStr">
        <is>
          <t>手順どおり操作し、「期待結果」の記載とシステムの状態が一致することを確認した</t>
        </is>
      </c>
      <c r="F83" s="6" t="n">
        <v>20</v>
      </c>
      <c r="G83" s="6" t="inlineStr"/>
      <c r="H83" s="7" t="inlineStr"/>
      <c r="I83" s="4" t="inlineStr"/>
    </row>
    <row r="84" ht="18" customHeight="1">
      <c r="A84" s="8" t="n">
        <v>82</v>
      </c>
      <c r="B84" s="9" t="inlineStr">
        <is>
          <t>H 練習⑤（発展・故障）</t>
        </is>
      </c>
      <c r="C84" s="9" t="inlineStr">
        <is>
          <t>5-5 発展課題（時間の余裕に応じて 2 つ以上）</t>
        </is>
      </c>
      <c r="D84" s="8" t="inlineStr">
        <is>
          <t>handson-5.html</t>
        </is>
      </c>
      <c r="E84" s="9" t="inlineStr">
        <is>
          <t>手順どおり操作し、「期待結果」の記載とシステムの状態が一致することを確認した</t>
        </is>
      </c>
      <c r="F84" s="8" t="n">
        <v>20</v>
      </c>
      <c r="G84" s="8" t="inlineStr"/>
      <c r="H84" s="7" t="inlineStr"/>
      <c r="I84" s="9" t="inlineStr"/>
    </row>
    <row r="85" ht="26" customHeight="1">
      <c r="A85" s="6" t="n">
        <v>83</v>
      </c>
      <c r="B85" s="4" t="inlineStr">
        <is>
          <t>H 練習⑤（発展・故障）（验收）</t>
        </is>
      </c>
      <c r="C85" s="4" t="inlineStr">
        <is>
          <t>受注の構成を変更し、受注 BOM・製造指図・価格が自動で追従しないことを実機で確認した（VA03/CO03）</t>
        </is>
      </c>
      <c r="D85" s="6" t="inlineStr">
        <is>
          <t>handson-5.html</t>
        </is>
      </c>
      <c r="E85" s="4" t="inlineStr">
        <is>
          <t>受注の構成を変更し、受注 BOM・製造指図・価格が自動で追従しないことを実機で確認した（VA03/CO03）</t>
        </is>
      </c>
      <c r="F85" s="6" t="n">
        <v>5</v>
      </c>
      <c r="G85" s="6" t="inlineStr"/>
      <c r="H85" s="7" t="inlineStr"/>
      <c r="I85" s="4" t="inlineStr"/>
    </row>
    <row r="86" ht="18" customHeight="1">
      <c r="A86" s="8" t="n">
        <v>84</v>
      </c>
      <c r="B86" s="9" t="inlineStr">
        <is>
          <t>H 練習⑤（発展・故障）（验收）</t>
        </is>
      </c>
      <c r="C86" s="9" t="inlineStr">
        <is>
          <t>再展開（受注明細／指図）の手順を実際に実行し、結果の変化を確認した</t>
        </is>
      </c>
      <c r="D86" s="8" t="inlineStr">
        <is>
          <t>handson-5.html</t>
        </is>
      </c>
      <c r="E86" s="9" t="inlineStr">
        <is>
          <t>再展開（受注明細／指図）の手順を実際に実行し、結果の変化を確認した</t>
        </is>
      </c>
      <c r="F86" s="8" t="n">
        <v>5</v>
      </c>
      <c r="G86" s="8" t="inlineStr"/>
      <c r="H86" s="7" t="inlineStr"/>
      <c r="I86" s="9" t="inlineStr"/>
    </row>
    <row r="87" ht="18" customHeight="1">
      <c r="A87" s="6" t="n">
        <v>85</v>
      </c>
      <c r="B87" s="4" t="inlineStr">
        <is>
          <t>H 練習⑤（発展・故障）（验收）</t>
        </is>
      </c>
      <c r="C87" s="4" t="inlineStr">
        <is>
          <t>変更統制のルール案（① 承認者 ② 許容範囲 ③ 例外手順 ④ 記録）を書いた</t>
        </is>
      </c>
      <c r="D87" s="6" t="inlineStr">
        <is>
          <t>handson-5.html</t>
        </is>
      </c>
      <c r="E87" s="4" t="inlineStr">
        <is>
          <t>変更統制のルール案（① 承認者 ② 許容範囲 ③ 例外手順 ④ 記録）を書いた</t>
        </is>
      </c>
      <c r="F87" s="6" t="n">
        <v>5</v>
      </c>
      <c r="G87" s="6" t="inlineStr"/>
      <c r="H87" s="7" t="inlineStr"/>
      <c r="I87" s="4" t="inlineStr"/>
    </row>
    <row r="88" ht="18" customHeight="1">
      <c r="A88" s="8" t="n">
        <v>86</v>
      </c>
      <c r="B88" s="9" t="inlineStr">
        <is>
          <t>H 練習⑤（発展・故障）（验收）</t>
        </is>
      </c>
      <c r="C88" s="9" t="inlineStr">
        <is>
          <t>戦略グループを 82 に切り替え、受注と指図が 1:1 になることを確認し、25 に戻した</t>
        </is>
      </c>
      <c r="D88" s="8" t="inlineStr">
        <is>
          <t>handson-5.html</t>
        </is>
      </c>
      <c r="E88" s="9" t="inlineStr">
        <is>
          <t>戦略グループを 82 に切り替え、受注と指図が 1:1 になることを確認し、25 に戻した</t>
        </is>
      </c>
      <c r="F88" s="8" t="n">
        <v>5</v>
      </c>
      <c r="G88" s="8" t="inlineStr"/>
      <c r="H88" s="7" t="inlineStr"/>
      <c r="I88" s="9" t="inlineStr"/>
    </row>
    <row r="89" ht="18" customHeight="1">
      <c r="A89" s="6" t="n">
        <v>87</v>
      </c>
      <c r="B89" s="4" t="inlineStr">
        <is>
          <t>H 練習⑤（発展・故障）（验收）</t>
        </is>
      </c>
      <c r="C89" s="4" t="inlineStr">
        <is>
          <t>OPPS/OVZG で 82/KMFA/201/PP04 の紐づけを自分の目で確認した</t>
        </is>
      </c>
      <c r="D89" s="6" t="inlineStr">
        <is>
          <t>handson-5.html</t>
        </is>
      </c>
      <c r="E89" s="4" t="inlineStr">
        <is>
          <t>OPPS/OVZG で 82/KMFA/201/PP04 の紐づけを自分の目で確認した</t>
        </is>
      </c>
      <c r="F89" s="6" t="n">
        <v>5</v>
      </c>
      <c r="G89" s="6" t="inlineStr"/>
      <c r="H89" s="7" t="inlineStr"/>
      <c r="I89" s="4" t="inlineStr"/>
    </row>
    <row r="90" ht="18" customHeight="1">
      <c r="A90" s="8" t="n">
        <v>88</v>
      </c>
      <c r="B90" s="9" t="inlineStr">
        <is>
          <t>H 練習⑤（発展・故障）（验收）</t>
        </is>
      </c>
      <c r="C90" s="9" t="inlineStr">
        <is>
          <t>CU50/CU03/CU02 の役割の違いを説明できる</t>
        </is>
      </c>
      <c r="D90" s="8" t="inlineStr">
        <is>
          <t>handson-5.html</t>
        </is>
      </c>
      <c r="E90" s="9" t="inlineStr">
        <is>
          <t>CU50/CU03/CU02 の役割の違いを説明できる</t>
        </is>
      </c>
      <c r="F90" s="8" t="n">
        <v>5</v>
      </c>
      <c r="G90" s="8" t="inlineStr"/>
      <c r="H90" s="7" t="inlineStr"/>
      <c r="I90" s="9" t="inlineStr"/>
    </row>
    <row r="91" ht="18" customHeight="1">
      <c r="A91" s="6" t="n">
        <v>89</v>
      </c>
      <c r="B91" s="4" t="inlineStr">
        <is>
          <t>H 練習⑤（発展・故障）（验收）</t>
        </is>
      </c>
      <c r="C91" s="4" t="inlineStr">
        <is>
          <t>故障対照表のうち 5 項以上を、確認手顺を見ずに切り分けの型で説明できる</t>
        </is>
      </c>
      <c r="D91" s="6" t="inlineStr">
        <is>
          <t>handson-5.html</t>
        </is>
      </c>
      <c r="E91" s="4" t="inlineStr">
        <is>
          <t>故障対照表のうち 5 項以上を、確認手顺を見ずに切り分けの型で説明できる</t>
        </is>
      </c>
      <c r="F91" s="6" t="n">
        <v>5</v>
      </c>
      <c r="G91" s="6" t="inlineStr"/>
      <c r="H91" s="7" t="inlineStr"/>
      <c r="I91" s="4" t="inlineStr"/>
    </row>
    <row r="92" ht="18" customHeight="1">
      <c r="A92" s="8" t="n">
        <v>90</v>
      </c>
      <c r="B92" s="9" t="inlineStr">
        <is>
          <t>H 練習⑤（発展・故障）（验收）</t>
        </is>
      </c>
      <c r="C92" s="9" t="inlineStr">
        <is>
          <t>故意に壊したモデルの原因を特定できた（切り分けの記録を提出）</t>
        </is>
      </c>
      <c r="D92" s="8" t="inlineStr">
        <is>
          <t>handson-5.html</t>
        </is>
      </c>
      <c r="E92" s="9" t="inlineStr">
        <is>
          <t>故意に壊したモデルの原因を特定できた（切り分けの記録を提出）</t>
        </is>
      </c>
      <c r="F92" s="8" t="n">
        <v>5</v>
      </c>
      <c r="G92" s="8" t="inlineStr"/>
      <c r="H92" s="7" t="inlineStr"/>
      <c r="I92" s="9" t="inlineStr"/>
    </row>
    <row r="93" ht="18" customHeight="1">
      <c r="A93" s="6" t="n">
        <v>91</v>
      </c>
      <c r="B93" s="4" t="inlineStr">
        <is>
          <t>H 練習⑤（発展・故障）（验收）</t>
        </is>
      </c>
      <c r="C93" s="4" t="inlineStr">
        <is>
          <t>発展課題を 2 つ以上実施し、実施内容と気づきを記録した</t>
        </is>
      </c>
      <c r="D93" s="6" t="inlineStr">
        <is>
          <t>handson-5.html</t>
        </is>
      </c>
      <c r="E93" s="4" t="inlineStr">
        <is>
          <t>発展課題を 2 つ以上実施し、実施内容と気づきを記録した</t>
        </is>
      </c>
      <c r="F93" s="6" t="n">
        <v>5</v>
      </c>
      <c r="G93" s="6" t="inlineStr"/>
      <c r="H93" s="7" t="inlineStr"/>
      <c r="I93" s="4" t="inlineStr"/>
    </row>
    <row r="94" ht="18" customHeight="1">
      <c r="A94" s="8" t="n">
        <v>92</v>
      </c>
      <c r="B94" s="9" t="inlineStr">
        <is>
          <t>H 練習⑤（発展・故障）（验收）</t>
        </is>
      </c>
      <c r="C94" s="9" t="inlineStr">
        <is>
          <t>シート D 故障記録に、症状→根因→証拠→処置→再発防止を 1 件以上記入した</t>
        </is>
      </c>
      <c r="D94" s="8" t="inlineStr">
        <is>
          <t>handson-5.html</t>
        </is>
      </c>
      <c r="E94" s="9" t="inlineStr">
        <is>
          <t>シート D 故障記録に、症状→根因→証拠→処置→再発防止を 1 件以上記入した</t>
        </is>
      </c>
      <c r="F94" s="8" t="n">
        <v>5</v>
      </c>
      <c r="G94" s="8" t="inlineStr"/>
      <c r="H94" s="7" t="inlineStr"/>
      <c r="I94" s="9" t="inlineStr"/>
    </row>
    <row r="95" ht="18" customHeight="1">
      <c r="A95" s="6" t="n">
        <v>93</v>
      </c>
      <c r="B95" s="4" t="inlineStr">
        <is>
          <t>I 受講者版</t>
        </is>
      </c>
      <c r="C95" s="4" t="inlineStr">
        <is>
          <t>ワークシート（worksheet.html）を埋める</t>
        </is>
      </c>
      <c r="D95" s="6" t="inlineStr">
        <is>
          <t>worksheet.html</t>
        </is>
      </c>
      <c r="E95" s="4" t="inlineStr">
        <is>
          <t>各シートを記入し、伝票番号・数値・故障記録が揃った</t>
        </is>
      </c>
      <c r="F95" s="6" t="n">
        <v>60</v>
      </c>
      <c r="G95" s="6" t="inlineStr"/>
      <c r="H95" s="7" t="inlineStr"/>
      <c r="I95" s="4" t="inlineStr"/>
    </row>
    <row r="96" ht="18" customHeight="1">
      <c r="A96" s="8" t="n">
        <v>94</v>
      </c>
      <c r="B96" s="9" t="inlineStr">
        <is>
          <t>J テスト</t>
        </is>
      </c>
      <c r="C96" s="9" t="inlineStr">
        <is>
          <t>能力测试（quiz.html）を受験する</t>
        </is>
      </c>
      <c r="D96" s="8" t="inlineStr">
        <is>
          <t>quiz.html</t>
        </is>
      </c>
      <c r="E96" s="9" t="inlineStr">
        <is>
          <t>合格ライン（75%）以上を取得した</t>
        </is>
      </c>
      <c r="F96" s="8" t="n">
        <v>30</v>
      </c>
      <c r="G96" s="8" t="inlineStr"/>
      <c r="H96" s="7" t="inlineStr"/>
      <c r="I96" s="9" t="inlineStr"/>
    </row>
    <row r="97" ht="18" customHeight="1">
      <c r="A97" s="6" t="n">
        <v>95</v>
      </c>
      <c r="B97" s="4" t="inlineStr">
        <is>
          <t>J テスト</t>
        </is>
      </c>
      <c r="C97" s="4" t="inlineStr">
        <is>
          <t>修了チェック（到達点）を通す</t>
        </is>
      </c>
      <c r="D97" s="6" t="inlineStr">
        <is>
          <t>quiz.html</t>
        </is>
      </c>
      <c r="E97" s="4" t="inlineStr">
        <is>
          <t>修了チェックリストの全項目にチェックが付いた</t>
        </is>
      </c>
      <c r="F97" s="6" t="n">
        <v>30</v>
      </c>
      <c r="G97" s="6" t="inlineStr"/>
      <c r="H97" s="7" t="inlineStr"/>
      <c r="I97" s="4" t="inlineStr"/>
    </row>
  </sheetData>
  <autoFilter ref="A2:I97"/>
  <mergeCells count="1">
    <mergeCell ref="A1:I1"/>
  </mergeCells>
  <dataValidations count="1">
    <dataValidation sqref="H3:H97" showDropDown="0" showInputMessage="0" showErrorMessage="0" allowBlank="1" error="○ / △ / × のいずれかを入力してください" promptTitle="自己判定" prompt="○ = できた / △ = 一部 / × = できない" type="list">
      <formula1>"○,△,×"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 ht="26" customHeight="1">
      <c r="A1" s="1" t="inlineStr">
        <is>
          <t>進捗サマリ（1_学習WBS の自己判定から自動集計）</t>
        </is>
      </c>
    </row>
    <row r="2">
      <c r="A2" s="5" t="inlineStr">
        <is>
          <t>フェーズ</t>
        </is>
      </c>
      <c r="B2" s="5" t="inlineStr">
        <is>
          <t>タスク数</t>
        </is>
      </c>
      <c r="C2" s="5" t="inlineStr">
        <is>
          <t>○</t>
        </is>
      </c>
      <c r="D2" s="5" t="inlineStr">
        <is>
          <t>△</t>
        </is>
      </c>
      <c r="E2" s="5" t="inlineStr">
        <is>
          <t>×</t>
        </is>
      </c>
      <c r="F2" s="5" t="inlineStr">
        <is>
          <t>完了率</t>
        </is>
      </c>
    </row>
    <row r="3">
      <c r="A3" s="4" t="inlineStr">
        <is>
          <t>A 総覧</t>
        </is>
      </c>
      <c r="B3" s="6">
        <f>COUNTIF('1_学習WBS'!$B$3:$B$97,$A3)</f>
        <v/>
      </c>
      <c r="C3" s="6">
        <f>COUNTIFS('1_学習WBS'!$B$3:$B$97,$A3,'1_学習WBS'!$H$3:$H$97,"○")</f>
        <v/>
      </c>
      <c r="D3" s="6">
        <f>COUNTIFS('1_学習WBS'!$B$3:$B$97,$A3,'1_学習WBS'!$H$3:$H$97,"△")</f>
        <v/>
      </c>
      <c r="E3" s="6">
        <f>COUNTIFS('1_学習WBS'!$B$3:$B$97,$A3,'1_学習WBS'!$H$3:$H$97,"×")</f>
        <v/>
      </c>
      <c r="F3" s="10">
        <f>IF(B3=0,"",ROUND(C3/B3*100,0)&amp;" %")</f>
        <v/>
      </c>
    </row>
    <row r="4">
      <c r="A4" s="4" t="inlineStr">
        <is>
          <t>B 概念と設計</t>
        </is>
      </c>
      <c r="B4" s="6">
        <f>COUNTIF('1_学習WBS'!$B$3:$B$97,$A4)</f>
        <v/>
      </c>
      <c r="C4" s="6">
        <f>COUNTIFS('1_学習WBS'!$B$3:$B$97,$A4,'1_学習WBS'!$H$3:$H$97,"○")</f>
        <v/>
      </c>
      <c r="D4" s="6">
        <f>COUNTIFS('1_学習WBS'!$B$3:$B$97,$A4,'1_学習WBS'!$H$3:$H$97,"△")</f>
        <v/>
      </c>
      <c r="E4" s="6">
        <f>COUNTIFS('1_学習WBS'!$B$3:$B$97,$A4,'1_学習WBS'!$H$3:$H$97,"×")</f>
        <v/>
      </c>
      <c r="F4" s="10">
        <f>IF(B4=0,"",ROUND(C4/B4*100,0)&amp;" %")</f>
        <v/>
      </c>
    </row>
    <row r="5">
      <c r="A5" s="4" t="inlineStr">
        <is>
          <t>C 配置（SPRO / マスタ）</t>
        </is>
      </c>
      <c r="B5" s="6">
        <f>COUNTIF('1_学習WBS'!$B$3:$B$97,$A5)</f>
        <v/>
      </c>
      <c r="C5" s="6">
        <f>COUNTIFS('1_学習WBS'!$B$3:$B$97,$A5,'1_学習WBS'!$H$3:$H$97,"○")</f>
        <v/>
      </c>
      <c r="D5" s="6">
        <f>COUNTIFS('1_学習WBS'!$B$3:$B$97,$A5,'1_学習WBS'!$H$3:$H$97,"△")</f>
        <v/>
      </c>
      <c r="E5" s="6">
        <f>COUNTIFS('1_学習WBS'!$B$3:$B$97,$A5,'1_学習WBS'!$H$3:$H$97,"×")</f>
        <v/>
      </c>
      <c r="F5" s="10">
        <f>IF(B5=0,"",ROUND(C5/B5*100,0)&amp;" %")</f>
        <v/>
      </c>
    </row>
    <row r="6">
      <c r="A6" s="4" t="inlineStr">
        <is>
          <t>D 練習①</t>
        </is>
      </c>
      <c r="B6" s="6">
        <f>COUNTIF('1_学習WBS'!$B$3:$B$97,$A6)</f>
        <v/>
      </c>
      <c r="C6" s="6">
        <f>COUNTIFS('1_学習WBS'!$B$3:$B$97,$A6,'1_学習WBS'!$H$3:$H$97,"○")</f>
        <v/>
      </c>
      <c r="D6" s="6">
        <f>COUNTIFS('1_学習WBS'!$B$3:$B$97,$A6,'1_学習WBS'!$H$3:$H$97,"△")</f>
        <v/>
      </c>
      <c r="E6" s="6">
        <f>COUNTIFS('1_学習WBS'!$B$3:$B$97,$A6,'1_学習WBS'!$H$3:$H$97,"×")</f>
        <v/>
      </c>
      <c r="F6" s="10">
        <f>IF(B6=0,"",ROUND(C6/B6*100,0)&amp;" %")</f>
        <v/>
      </c>
    </row>
    <row r="7">
      <c r="A7" s="4" t="inlineStr">
        <is>
          <t>D 練習①（验收）</t>
        </is>
      </c>
      <c r="B7" s="6">
        <f>COUNTIF('1_学習WBS'!$B$3:$B$97,$A7)</f>
        <v/>
      </c>
      <c r="C7" s="6">
        <f>COUNTIFS('1_学習WBS'!$B$3:$B$97,$A7,'1_学習WBS'!$H$3:$H$97,"○")</f>
        <v/>
      </c>
      <c r="D7" s="6">
        <f>COUNTIFS('1_学習WBS'!$B$3:$B$97,$A7,'1_学習WBS'!$H$3:$H$97,"△")</f>
        <v/>
      </c>
      <c r="E7" s="6">
        <f>COUNTIFS('1_学習WBS'!$B$3:$B$97,$A7,'1_学習WBS'!$H$3:$H$97,"×")</f>
        <v/>
      </c>
      <c r="F7" s="10">
        <f>IF(B7=0,"",ROUND(C7/B7*100,0)&amp;" %")</f>
        <v/>
      </c>
    </row>
    <row r="8">
      <c r="A8" s="4" t="inlineStr">
        <is>
          <t>E 練習②</t>
        </is>
      </c>
      <c r="B8" s="6">
        <f>COUNTIF('1_学習WBS'!$B$3:$B$97,$A8)</f>
        <v/>
      </c>
      <c r="C8" s="6">
        <f>COUNTIFS('1_学習WBS'!$B$3:$B$97,$A8,'1_学習WBS'!$H$3:$H$97,"○")</f>
        <v/>
      </c>
      <c r="D8" s="6">
        <f>COUNTIFS('1_学習WBS'!$B$3:$B$97,$A8,'1_学習WBS'!$H$3:$H$97,"△")</f>
        <v/>
      </c>
      <c r="E8" s="6">
        <f>COUNTIFS('1_学習WBS'!$B$3:$B$97,$A8,'1_学習WBS'!$H$3:$H$97,"×")</f>
        <v/>
      </c>
      <c r="F8" s="10">
        <f>IF(B8=0,"",ROUND(C8/B8*100,0)&amp;" %")</f>
        <v/>
      </c>
    </row>
    <row r="9">
      <c r="A9" s="4" t="inlineStr">
        <is>
          <t>E 練習②（验收）</t>
        </is>
      </c>
      <c r="B9" s="6">
        <f>COUNTIF('1_学習WBS'!$B$3:$B$97,$A9)</f>
        <v/>
      </c>
      <c r="C9" s="6">
        <f>COUNTIFS('1_学習WBS'!$B$3:$B$97,$A9,'1_学習WBS'!$H$3:$H$97,"○")</f>
        <v/>
      </c>
      <c r="D9" s="6">
        <f>COUNTIFS('1_学習WBS'!$B$3:$B$97,$A9,'1_学習WBS'!$H$3:$H$97,"△")</f>
        <v/>
      </c>
      <c r="E9" s="6">
        <f>COUNTIFS('1_学習WBS'!$B$3:$B$97,$A9,'1_学習WBS'!$H$3:$H$97,"×")</f>
        <v/>
      </c>
      <c r="F9" s="10">
        <f>IF(B9=0,"",ROUND(C9/B9*100,0)&amp;" %")</f>
        <v/>
      </c>
    </row>
    <row r="10">
      <c r="A10" s="4" t="inlineStr">
        <is>
          <t>F 練習③</t>
        </is>
      </c>
      <c r="B10" s="6">
        <f>COUNTIF('1_学習WBS'!$B$3:$B$97,$A10)</f>
        <v/>
      </c>
      <c r="C10" s="6">
        <f>COUNTIFS('1_学習WBS'!$B$3:$B$97,$A10,'1_学習WBS'!$H$3:$H$97,"○")</f>
        <v/>
      </c>
      <c r="D10" s="6">
        <f>COUNTIFS('1_学習WBS'!$B$3:$B$97,$A10,'1_学習WBS'!$H$3:$H$97,"△")</f>
        <v/>
      </c>
      <c r="E10" s="6">
        <f>COUNTIFS('1_学習WBS'!$B$3:$B$97,$A10,'1_学習WBS'!$H$3:$H$97,"×")</f>
        <v/>
      </c>
      <c r="F10" s="10">
        <f>IF(B10=0,"",ROUND(C10/B10*100,0)&amp;" %")</f>
        <v/>
      </c>
    </row>
    <row r="11">
      <c r="A11" s="4" t="inlineStr">
        <is>
          <t>F 練習③（验收）</t>
        </is>
      </c>
      <c r="B11" s="6">
        <f>COUNTIF('1_学習WBS'!$B$3:$B$97,$A11)</f>
        <v/>
      </c>
      <c r="C11" s="6">
        <f>COUNTIFS('1_学習WBS'!$B$3:$B$97,$A11,'1_学習WBS'!$H$3:$H$97,"○")</f>
        <v/>
      </c>
      <c r="D11" s="6">
        <f>COUNTIFS('1_学習WBS'!$B$3:$B$97,$A11,'1_学習WBS'!$H$3:$H$97,"△")</f>
        <v/>
      </c>
      <c r="E11" s="6">
        <f>COUNTIFS('1_学習WBS'!$B$3:$B$97,$A11,'1_学習WBS'!$H$3:$H$97,"×")</f>
        <v/>
      </c>
      <c r="F11" s="10">
        <f>IF(B11=0,"",ROUND(C11/B11*100,0)&amp;" %")</f>
        <v/>
      </c>
    </row>
    <row r="12">
      <c r="A12" s="4" t="inlineStr">
        <is>
          <t>G 練習④</t>
        </is>
      </c>
      <c r="B12" s="6">
        <f>COUNTIF('1_学習WBS'!$B$3:$B$97,$A12)</f>
        <v/>
      </c>
      <c r="C12" s="6">
        <f>COUNTIFS('1_学習WBS'!$B$3:$B$97,$A12,'1_学習WBS'!$H$3:$H$97,"○")</f>
        <v/>
      </c>
      <c r="D12" s="6">
        <f>COUNTIFS('1_学習WBS'!$B$3:$B$97,$A12,'1_学習WBS'!$H$3:$H$97,"△")</f>
        <v/>
      </c>
      <c r="E12" s="6">
        <f>COUNTIFS('1_学習WBS'!$B$3:$B$97,$A12,'1_学習WBS'!$H$3:$H$97,"×")</f>
        <v/>
      </c>
      <c r="F12" s="10">
        <f>IF(B12=0,"",ROUND(C12/B12*100,0)&amp;" %")</f>
        <v/>
      </c>
    </row>
    <row r="13">
      <c r="A13" s="4" t="inlineStr">
        <is>
          <t>G 練習④（验收）</t>
        </is>
      </c>
      <c r="B13" s="6">
        <f>COUNTIF('1_学習WBS'!$B$3:$B$97,$A13)</f>
        <v/>
      </c>
      <c r="C13" s="6">
        <f>COUNTIFS('1_学習WBS'!$B$3:$B$97,$A13,'1_学習WBS'!$H$3:$H$97,"○")</f>
        <v/>
      </c>
      <c r="D13" s="6">
        <f>COUNTIFS('1_学習WBS'!$B$3:$B$97,$A13,'1_学習WBS'!$H$3:$H$97,"△")</f>
        <v/>
      </c>
      <c r="E13" s="6">
        <f>COUNTIFS('1_学習WBS'!$B$3:$B$97,$A13,'1_学習WBS'!$H$3:$H$97,"×")</f>
        <v/>
      </c>
      <c r="F13" s="10">
        <f>IF(B13=0,"",ROUND(C13/B13*100,0)&amp;" %")</f>
        <v/>
      </c>
    </row>
    <row r="14">
      <c r="A14" s="4" t="inlineStr">
        <is>
          <t>H 練習⑤（発展・故障）</t>
        </is>
      </c>
      <c r="B14" s="6">
        <f>COUNTIF('1_学習WBS'!$B$3:$B$97,$A14)</f>
        <v/>
      </c>
      <c r="C14" s="6">
        <f>COUNTIFS('1_学習WBS'!$B$3:$B$97,$A14,'1_学習WBS'!$H$3:$H$97,"○")</f>
        <v/>
      </c>
      <c r="D14" s="6">
        <f>COUNTIFS('1_学習WBS'!$B$3:$B$97,$A14,'1_学習WBS'!$H$3:$H$97,"△")</f>
        <v/>
      </c>
      <c r="E14" s="6">
        <f>COUNTIFS('1_学習WBS'!$B$3:$B$97,$A14,'1_学習WBS'!$H$3:$H$97,"×")</f>
        <v/>
      </c>
      <c r="F14" s="10">
        <f>IF(B14=0,"",ROUND(C14/B14*100,0)&amp;" %")</f>
        <v/>
      </c>
    </row>
    <row r="15">
      <c r="A15" s="4" t="inlineStr">
        <is>
          <t>H 練習⑤（発展・故障）（验收）</t>
        </is>
      </c>
      <c r="B15" s="6">
        <f>COUNTIF('1_学習WBS'!$B$3:$B$97,$A15)</f>
        <v/>
      </c>
      <c r="C15" s="6">
        <f>COUNTIFS('1_学習WBS'!$B$3:$B$97,$A15,'1_学習WBS'!$H$3:$H$97,"○")</f>
        <v/>
      </c>
      <c r="D15" s="6">
        <f>COUNTIFS('1_学習WBS'!$B$3:$B$97,$A15,'1_学習WBS'!$H$3:$H$97,"△")</f>
        <v/>
      </c>
      <c r="E15" s="6">
        <f>COUNTIFS('1_学習WBS'!$B$3:$B$97,$A15,'1_学習WBS'!$H$3:$H$97,"×")</f>
        <v/>
      </c>
      <c r="F15" s="10">
        <f>IF(B15=0,"",ROUND(C15/B15*100,0)&amp;" %")</f>
        <v/>
      </c>
    </row>
    <row r="16">
      <c r="A16" s="4" t="inlineStr">
        <is>
          <t>I 受講者版</t>
        </is>
      </c>
      <c r="B16" s="6">
        <f>COUNTIF('1_学習WBS'!$B$3:$B$97,$A16)</f>
        <v/>
      </c>
      <c r="C16" s="6">
        <f>COUNTIFS('1_学習WBS'!$B$3:$B$97,$A16,'1_学習WBS'!$H$3:$H$97,"○")</f>
        <v/>
      </c>
      <c r="D16" s="6">
        <f>COUNTIFS('1_学習WBS'!$B$3:$B$97,$A16,'1_学習WBS'!$H$3:$H$97,"△")</f>
        <v/>
      </c>
      <c r="E16" s="6">
        <f>COUNTIFS('1_学習WBS'!$B$3:$B$97,$A16,'1_学習WBS'!$H$3:$H$97,"×")</f>
        <v/>
      </c>
      <c r="F16" s="10">
        <f>IF(B16=0,"",ROUND(C16/B16*100,0)&amp;" %")</f>
        <v/>
      </c>
    </row>
    <row r="17">
      <c r="A17" s="4" t="inlineStr">
        <is>
          <t>J テスト</t>
        </is>
      </c>
      <c r="B17" s="6">
        <f>COUNTIF('1_学習WBS'!$B$3:$B$97,$A17)</f>
        <v/>
      </c>
      <c r="C17" s="6">
        <f>COUNTIFS('1_学習WBS'!$B$3:$B$97,$A17,'1_学習WBS'!$H$3:$H$97,"○")</f>
        <v/>
      </c>
      <c r="D17" s="6">
        <f>COUNTIFS('1_学習WBS'!$B$3:$B$97,$A17,'1_学習WBS'!$H$3:$H$97,"△")</f>
        <v/>
      </c>
      <c r="E17" s="6">
        <f>COUNTIFS('1_学習WBS'!$B$3:$B$97,$A17,'1_学習WBS'!$H$3:$H$97,"×")</f>
        <v/>
      </c>
      <c r="F17" s="10">
        <f>IF(B17=0,"",ROUND(C17/B17*100,0)&amp;" %")</f>
        <v/>
      </c>
    </row>
    <row r="18">
      <c r="A18" s="11" t="inlineStr">
        <is>
          <t>合計 / 全体</t>
        </is>
      </c>
      <c r="B18" s="12">
        <f>SUM(B3:B17)</f>
        <v/>
      </c>
      <c r="C18" s="12">
        <f>SUM(C3:C17)</f>
        <v/>
      </c>
      <c r="D18" s="12">
        <f>SUM(D3:D17)</f>
        <v/>
      </c>
      <c r="E18" s="12">
        <f>SUM(E3:E17)</f>
        <v/>
      </c>
      <c r="F18" s="12">
        <f>IF(B18=0,"",ROUND(C18/B18*100,0)&amp;" %")</f>
        <v/>
      </c>
    </row>
    <row r="20">
      <c r="A20" s="13" t="inlineStr">
        <is>
          <t>実施合計時間（分）</t>
        </is>
      </c>
      <c r="B20" s="14">
        <f>SUM('1_学習WBS'!$F$3:$F$97)</f>
        <v/>
      </c>
    </row>
    <row r="21">
      <c r="A21" s="13" t="inlineStr">
        <is>
          <t>○ のみの合計時間（分）</t>
        </is>
      </c>
      <c r="B21" s="14">
        <f>SUMIFS('1_学習WBS'!$F$3:$F$97,'1_学習WBS'!$H$3:$H$97,"○")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30" customWidth="1" min="4" max="4"/>
    <col width="12" customWidth="1" min="5" max="5"/>
    <col width="34" customWidth="1" min="6" max="6"/>
  </cols>
  <sheetData>
    <row r="1" ht="26" customHeight="1">
      <c r="A1" s="1" t="inlineStr">
        <is>
          <t>実機記録（伝票番号・数値・証跡）— 講師の確認対象</t>
        </is>
      </c>
    </row>
    <row r="2">
      <c r="A2" s="5" t="inlineStr">
        <is>
          <t>#</t>
        </is>
      </c>
      <c r="B2" s="5" t="inlineStr">
        <is>
          <t>記録項目</t>
        </is>
      </c>
      <c r="C2" s="5" t="inlineStr">
        <is>
          <t>期待値・見方</t>
        </is>
      </c>
      <c r="D2" s="5" t="inlineStr">
        <is>
          <t>実測値 / 伝票番号</t>
        </is>
      </c>
      <c r="E2" s="5" t="inlineStr">
        <is>
          <t>実施日</t>
        </is>
      </c>
      <c r="F2" s="5" t="inlineStr">
        <is>
          <t>証跡メモ</t>
        </is>
      </c>
    </row>
    <row r="3" ht="22" customHeight="1">
      <c r="A3" s="6" t="n">
        <v>1</v>
      </c>
      <c r="B3" s="4" t="inlineStr">
        <is>
          <t>特徴名（CT04）×4 と値の一覧</t>
        </is>
      </c>
      <c r="C3" s="4" t="inlineStr">
        <is>
          <t>容量 / 材質 / 塗装 / 付属品 など</t>
        </is>
      </c>
      <c r="D3" s="15" t="n"/>
      <c r="E3" s="16" t="n"/>
      <c r="F3" s="15" t="n"/>
    </row>
    <row r="4" ht="22" customHeight="1">
      <c r="A4" s="6" t="n">
        <v>2</v>
      </c>
      <c r="B4" s="4" t="inlineStr">
        <is>
          <t>クラス名（CL02）とクラス型</t>
        </is>
      </c>
      <c r="C4" s="4" t="inlineStr">
        <is>
          <t>クラス型 300・特徴の割当数</t>
        </is>
      </c>
      <c r="D4" s="15" t="n"/>
      <c r="E4" s="16" t="n"/>
      <c r="F4" s="15" t="n"/>
    </row>
    <row r="5" ht="22" customHeight="1">
      <c r="A5" s="6" t="n">
        <v>3</v>
      </c>
      <c r="B5" s="4" t="inlineStr">
        <is>
          <t>設定可能品目（KMAT）の品目コード</t>
        </is>
      </c>
      <c r="C5" s="4" t="inlineStr">
        <is>
          <t>品目カテゴリグループ 0002 / 戦略グループ 25</t>
        </is>
      </c>
      <c r="D5" s="15" t="n"/>
      <c r="E5" s="16" t="n"/>
      <c r="F5" s="15" t="n"/>
    </row>
    <row r="6" ht="22" customHeight="1">
      <c r="A6" s="6" t="n">
        <v>4</v>
      </c>
      <c r="B6" s="4" t="inlineStr">
        <is>
          <t>設定プロファイル名（CU41 / PMEVC）</t>
        </is>
      </c>
      <c r="C6" s="4" t="inlineStr">
        <is>
          <t>必須チェックの設定</t>
        </is>
      </c>
      <c r="D6" s="15" t="n"/>
      <c r="E6" s="16" t="n"/>
      <c r="F6" s="15" t="n"/>
    </row>
    <row r="7" ht="22" customHeight="1">
      <c r="A7" s="6" t="n">
        <v>5</v>
      </c>
      <c r="B7" s="4" t="inlineStr">
        <is>
          <t>依存関係の名前（CU01〜CU03）×種類</t>
        </is>
      </c>
      <c r="C7" s="4" t="inlineStr">
        <is>
          <t>選択条件 / 前提条件 / 手続き</t>
        </is>
      </c>
      <c r="D7" s="15" t="n"/>
      <c r="E7" s="16" t="n"/>
      <c r="F7" s="15" t="n"/>
    </row>
    <row r="8" ht="22" customHeight="1">
      <c r="A8" s="6" t="n">
        <v>6</v>
      </c>
      <c r="B8" s="4" t="inlineStr">
        <is>
          <t>スーパー BOM の構成品目数（CS03）</t>
        </is>
      </c>
      <c r="C8" s="4" t="inlineStr">
        <is>
          <t>___ 件</t>
        </is>
      </c>
      <c r="D8" s="15" t="n"/>
      <c r="E8" s="16" t="n"/>
      <c r="F8" s="15" t="n"/>
    </row>
    <row r="9" ht="22" customHeight="1">
      <c r="A9" s="6" t="n">
        <v>7</v>
      </c>
      <c r="B9" s="4" t="inlineStr">
        <is>
          <t>CU50 のシミュレーション結果</t>
        </is>
      </c>
      <c r="C9" s="4" t="inlineStr">
        <is>
          <t>設定値ごとの BOM 構成品目</t>
        </is>
      </c>
      <c r="D9" s="15" t="n"/>
      <c r="E9" s="16" t="n"/>
      <c r="F9" s="15" t="n"/>
    </row>
    <row r="10" ht="22" customHeight="1">
      <c r="A10" s="6" t="n">
        <v>8</v>
      </c>
      <c r="B10" s="4" t="inlineStr">
        <is>
          <t>受注番号と設定値（VA01）</t>
        </is>
      </c>
      <c r="C10" s="4" t="inlineStr">
        <is>
          <t>選んだ特徴値</t>
        </is>
      </c>
      <c r="D10" s="15" t="n"/>
      <c r="E10" s="16" t="n"/>
      <c r="F10" s="15" t="n"/>
    </row>
    <row r="11" ht="22" customHeight="1">
      <c r="A11" s="6" t="n">
        <v>9</v>
      </c>
      <c r="B11" s="4" t="inlineStr">
        <is>
          <t>受注 BOM の構成品目（VA03 構成品目）</t>
        </is>
      </c>
      <c r="C11" s="4" t="inlineStr">
        <is>
          <t>選択条件どおりに選別されたか</t>
        </is>
      </c>
      <c r="D11" s="15" t="n"/>
      <c r="E11" s="16" t="n"/>
      <c r="F11" s="15" t="n"/>
    </row>
    <row r="12" ht="22" customHeight="1">
      <c r="A12" s="6" t="n">
        <v>10</v>
      </c>
      <c r="B12" s="4" t="inlineStr">
        <is>
          <t>指図番号と設定値の伝搬（CO03）</t>
        </is>
      </c>
      <c r="C12" s="4" t="inlineStr">
        <is>
          <t>構成品目と作業手順</t>
        </is>
      </c>
      <c r="D12" s="15" t="n"/>
      <c r="E12" s="16" t="n"/>
      <c r="F12" s="15" t="n"/>
    </row>
    <row r="13" ht="22" customHeight="1">
      <c r="A13" s="6" t="n">
        <v>11</v>
      </c>
      <c r="B13" s="4" t="inlineStr">
        <is>
          <t>変種価格の加算額（VA03 条件）</t>
        </is>
      </c>
      <c r="C13" s="4" t="inlineStr">
        <is>
          <t>条件タイプ VA00</t>
        </is>
      </c>
      <c r="D13" s="15" t="n"/>
      <c r="E13" s="16" t="n"/>
      <c r="F13" s="15" t="n"/>
    </row>
    <row r="14" ht="22" customHeight="1">
      <c r="A14" s="6" t="n">
        <v>12</v>
      </c>
      <c r="B14" s="4" t="inlineStr">
        <is>
          <t>出荷・請求の伝票番号（VL01N / VF01）</t>
        </is>
      </c>
      <c r="C14" s="4" t="inlineStr">
        <is>
          <t>請求金額に加算が入っているか</t>
        </is>
      </c>
      <c r="D14" s="15" t="n"/>
      <c r="E14" s="16" t="n"/>
      <c r="F14" s="15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  <col width="14" customWidth="1" min="3" max="3"/>
  </cols>
  <sheetData>
    <row r="1" ht="26" customHeight="1">
      <c r="A1" s="1" t="inlineStr">
        <is>
          <t>修了判定（到達点チェックと講師確認）</t>
        </is>
      </c>
    </row>
    <row r="2">
      <c r="A2" s="5" t="inlineStr">
        <is>
          <t>#</t>
        </is>
      </c>
      <c r="B2" s="5" t="inlineStr">
        <is>
          <t>到達点（これが言えたら本教材は修了）</t>
        </is>
      </c>
      <c r="C2" s="5" t="inlineStr">
        <is>
          <t>チェック</t>
        </is>
      </c>
    </row>
    <row r="3" ht="20" customHeight="1">
      <c r="A3" s="6" t="n">
        <v>1</v>
      </c>
      <c r="B3" s="4" t="inlineStr">
        <is>
          <t>特徴 → クラス → KMAT → 設定プロファイル → 依存関係 を 1 人で作り切った</t>
        </is>
      </c>
      <c r="C3" s="16" t="inlineStr"/>
    </row>
    <row r="4" ht="20" customHeight="1">
      <c r="A4" s="6" t="n">
        <v>2</v>
      </c>
      <c r="B4" s="4" t="inlineStr">
        <is>
          <t>CU50 で「設定値によって BOM が切り替わる」ことを確認した</t>
        </is>
      </c>
      <c r="C4" s="16" t="inlineStr"/>
    </row>
    <row r="5" ht="20" customHeight="1">
      <c r="A5" s="6" t="n">
        <v>3</v>
      </c>
      <c r="B5" s="4" t="inlineStr">
        <is>
          <t>受注で構成し、その設定値が指図へ伝搬することを CO03 で確認した</t>
        </is>
      </c>
      <c r="C5" s="16" t="inlineStr"/>
    </row>
    <row r="6" ht="20" customHeight="1">
      <c r="A6" s="6" t="n">
        <v>4</v>
      </c>
      <c r="B6" s="4" t="inlineStr">
        <is>
          <t>変種価格が請求金額に反映されることを確認した</t>
        </is>
      </c>
      <c r="C6" s="16" t="inlineStr"/>
    </row>
    <row r="7" ht="20" customHeight="1">
      <c r="A7" s="6" t="n">
        <v>5</v>
      </c>
      <c r="B7" s="4" t="inlineStr">
        <is>
          <t>VC と MTO（戦略 25）／ATO（戦略 82）の違いを説明できた</t>
        </is>
      </c>
      <c r="C7" s="16" t="inlineStr"/>
    </row>
    <row r="8" ht="20" customHeight="1">
      <c r="A8" s="6" t="n">
        <v>6</v>
      </c>
      <c r="B8" s="4" t="inlineStr">
        <is>
          <t>つまずいた点を「症状 → 根因 → 証拠 → 処置 → 再発防止」で 1 件以上記録できた</t>
        </is>
      </c>
      <c r="C8" s="16" t="inlineStr"/>
    </row>
    <row r="9" ht="20" customHeight="1">
      <c r="A9" s="6" t="n">
        <v>7</v>
      </c>
      <c r="B9" s="4" t="inlineStr">
        <is>
          <t>能力测试（quiz.html）で 75% 以上</t>
        </is>
      </c>
      <c r="C9" s="16" t="inlineStr"/>
    </row>
    <row r="11" ht="34" customHeight="1">
      <c r="A11" s="3" t="inlineStr">
        <is>
          <t>再受講が必要な分野（△ × のあったフェーズ）</t>
        </is>
      </c>
      <c r="B11" s="17" t="inlineStr"/>
    </row>
    <row r="12" ht="34" customHeight="1">
      <c r="A12" s="3" t="inlineStr">
        <is>
          <t>講師所見</t>
        </is>
      </c>
      <c r="B12" s="17" t="inlineStr"/>
    </row>
    <row r="13" ht="34" customHeight="1">
      <c r="A13" s="3" t="inlineStr">
        <is>
          <t>実施日 / 講師署名</t>
        </is>
      </c>
      <c r="B13" s="17" t="inlineStr"/>
    </row>
  </sheetData>
  <mergeCells count="4">
    <mergeCell ref="A1:C1"/>
    <mergeCell ref="B13:C13"/>
    <mergeCell ref="B11:C11"/>
    <mergeCell ref="B12:C12"/>
  </mergeCells>
  <dataValidations count="1">
    <dataValidation sqref="C3:C9" showDropDown="0" showInputMessage="0" showErrorMessage="0" allowBlank="1" type="list">
      <formula1>"✓,,—"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2026-09-12T14:10:50Z</dcterms:created>
  <dcterms:modified xsi:type="dcterms:W3CDTF">2026-09-12T14:10:50Z</dcterms:modified>
</cp:coreProperties>
</file>