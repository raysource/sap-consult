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進め方" sheetId="1" state="visible" r:id="rId1"/>
    <sheet name="1_学習WBS" sheetId="2" state="visible" r:id="rId2"/>
    <sheet name="2_進捗サマリ" sheetId="3" state="visible" r:id="rId3"/>
    <sheet name="3_実機記録" sheetId="4" state="visible" r:id="rId4"/>
    <sheet name="4_修了判定" sheetId="5" state="visible" r:id="rId5"/>
  </sheets>
  <definedNames>
    <definedName name="_xlnm._FilterDatabase" localSheetId="1" hidden="1">'1_学習WBS'!$A$2:$I$113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5"/>
    </font>
    <font>
      <name val="微软雅黑"/>
      <color rgb="006B7A8D"/>
      <sz val="9"/>
    </font>
    <font>
      <name val="微软雅黑"/>
      <b val="1"/>
      <color rgb="00FFFFFF"/>
      <sz val="10"/>
    </font>
    <font>
      <name val="微软雅黑"/>
      <color rgb="001D2D3E"/>
      <sz val="10"/>
    </font>
    <font>
      <name val="微软雅黑"/>
      <b val="1"/>
      <color rgb="001D2D3E"/>
      <sz val="10"/>
    </font>
  </fonts>
  <fills count="6">
    <fill>
      <patternFill/>
    </fill>
    <fill>
      <patternFill patternType="gray125"/>
    </fill>
    <fill>
      <patternFill patternType="solid">
        <fgColor rgb="000A6ED1"/>
      </patternFill>
    </fill>
    <fill>
      <patternFill patternType="solid">
        <fgColor rgb="00E8F5E9"/>
      </patternFill>
    </fill>
    <fill>
      <patternFill patternType="solid">
        <fgColor rgb="00F2F4F7"/>
      </patternFill>
    </fill>
    <fill>
      <patternFill patternType="solid">
        <fgColor rgb="00DCE9F5"/>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5" fillId="0" borderId="1" applyAlignment="1" pivotButton="0" quotePrefix="0" xfId="0">
      <alignment horizontal="center" vertical="center" wrapText="1"/>
    </xf>
    <xf numFmtId="0" fontId="5" fillId="5" borderId="1" applyAlignment="1" pivotButton="0" quotePrefix="0" xfId="0">
      <alignment vertical="top" wrapText="1"/>
    </xf>
    <xf numFmtId="0" fontId="5" fillId="5" borderId="1" applyAlignment="1" pivotButton="0" quotePrefix="0" xfId="0">
      <alignment horizontal="center" vertical="center" wrapText="1"/>
    </xf>
    <xf numFmtId="0" fontId="5" fillId="0" borderId="0" pivotButton="0" quotePrefix="0" xfId="0"/>
    <xf numFmtId="0" fontId="4" fillId="0" borderId="0" pivotButton="0" quotePrefix="0" xfId="0"/>
    <xf numFmtId="0" fontId="0" fillId="3" borderId="1" applyAlignment="1" pivotButton="0" quotePrefix="0" xfId="0">
      <alignment vertical="top" wrapText="1"/>
    </xf>
    <xf numFmtId="0" fontId="0" fillId="3"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4" customWidth="1" min="2" max="2"/>
  </cols>
  <sheetData>
    <row r="1" ht="26" customHeight="1">
      <c r="A1" s="1" t="inlineStr">
        <is>
          <t>学習WBS（受講者版）— SD 受注処理（Sales Order Processing）</t>
        </is>
      </c>
    </row>
    <row r="2">
      <c r="A2" s="2" t="inlineStr">
        <is>
          <t>SAP S/4HANA 業務実践トレーニング / 記入式の進捗管理ワークブック（サイト版と同期）</t>
        </is>
      </c>
    </row>
    <row r="3" ht="52" customHeight="1">
      <c r="A3" s="3" t="inlineStr">
        <is>
          <t>本ワークブックの使い方</t>
        </is>
      </c>
      <c r="B3" s="4" t="inlineStr">
        <is>
          <t>録画「录像45 Sales order processing.mp4」（SAP Education Unit 14）の配套教材です。「1_学習WBS」を上から順に実施し、各タスクの「完成基準」を満たしたら自己判定に ○ を入れてください。○ の数は「2_進捗サマリ」に自動集計されます。詰まった行は「メモ」に症状を残し、講師と共有してください。</t>
        </is>
      </c>
    </row>
    <row r="4" ht="26" customHeight="1">
      <c r="A4" s="3" t="inlineStr">
        <is>
          <t>目安時間</t>
        </is>
      </c>
      <c r="B4" s="4" t="inlineStr">
        <is>
          <t>配置（C0〜C16）と練習①〜⑤で「講義 1 日 ＋ 実機 1 日」程度（計 14〜16 時間）。動画（57 分）は各ページの該当時刻を再生しながら進めると理解が速くなります。</t>
        </is>
      </c>
    </row>
    <row r="5" ht="39" customHeight="1">
      <c r="A5" s="3" t="inlineStr">
        <is>
          <t>特に注意</t>
        </is>
      </c>
      <c r="B5" s="4" t="inlineStr">
        <is>
          <t>本教材の主题は「操作」ではなく「値がどこから来るか」です。受注（VA01）を作ったら、必ず SE16N で VBAP（明細カテゴリ・出荷プラント）と主データ（MVKE / KNVV / KNMT）を並べて見る習慣を付けてください。標準の OR / TAN は書き換えず、ZOR1 / ZTAN を作って練習します。</t>
        </is>
      </c>
    </row>
    <row r="7">
      <c r="A7" s="3" t="inlineStr">
        <is>
          <t>凡例</t>
        </is>
      </c>
      <c r="B7" s="4" t="inlineStr">
        <is>
          <t>○ ＝ できた（完成基準を満たした）／△ ＝ 一部できた（要確認）／× ＝ できなかった。「2_進捗サマリ」にフェーズ別の完了率が自動計算されます。</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22" customWidth="1" min="4" max="4"/>
    <col width="62" customWidth="1" min="5" max="5"/>
    <col width="9" customWidth="1" min="6" max="6"/>
    <col width="12" customWidth="1" min="7" max="7"/>
    <col width="10" customWidth="1" min="8" max="8"/>
    <col width="30" customWidth="1" min="9" max="9"/>
  </cols>
  <sheetData>
    <row r="1" ht="26" customHeight="1">
      <c r="A1" s="1" t="inlineStr">
        <is>
          <t>学習WBS — SD 受注処理（Sales Order Processing）（上から順に実施）</t>
        </is>
      </c>
    </row>
    <row r="2" ht="24" customHeight="1">
      <c r="A2" s="5" t="inlineStr">
        <is>
          <t>#</t>
        </is>
      </c>
      <c r="B2" s="5" t="inlineStr">
        <is>
          <t>フェーズ</t>
        </is>
      </c>
      <c r="C2" s="5" t="inlineStr">
        <is>
          <t>タスク</t>
        </is>
      </c>
      <c r="D2" s="5" t="inlineStr">
        <is>
          <t>参照ページ</t>
        </is>
      </c>
      <c r="E2" s="5" t="inlineStr">
        <is>
          <t>完成基準（ここを満たしたら ○）</t>
        </is>
      </c>
      <c r="F2" s="5" t="inlineStr">
        <is>
          <t>目安(分)</t>
        </is>
      </c>
      <c r="G2" s="5" t="inlineStr">
        <is>
          <t>実施日</t>
        </is>
      </c>
      <c r="H2" s="5" t="inlineStr">
        <is>
          <t>自己判定</t>
        </is>
      </c>
      <c r="I2" s="5" t="inlineStr">
        <is>
          <t>メモ</t>
        </is>
      </c>
    </row>
    <row r="3" ht="39" customHeight="1">
      <c r="A3" s="6" t="n">
        <v>1</v>
      </c>
      <c r="B3" s="4" t="inlineStr">
        <is>
          <t>A 総覧</t>
        </is>
      </c>
      <c r="C3" s="4" t="inlineStr">
        <is>
          <t>本站の教材の出所と到達目標を説明できる</t>
        </is>
      </c>
      <c r="D3" s="6" t="inlineStr">
        <is>
          <t>index.html</t>
        </is>
      </c>
      <c r="E3" s="4" t="inlineStr">
        <is>
          <t>同ディレクトリの録画（Unit 14: Sales Order Processing）が教材であり、目標は ① 伝票データの出所を判断できる ② 道具とヘルプを使える の 2 点だと説明した</t>
        </is>
      </c>
      <c r="F3" s="6" t="n">
        <v>10</v>
      </c>
      <c r="G3" s="6" t="inlineStr"/>
      <c r="H3" s="7" t="inlineStr"/>
      <c r="I3" s="4" t="inlineStr"/>
    </row>
    <row r="4" ht="26" customHeight="1">
      <c r="A4" s="8" t="n">
        <v>2</v>
      </c>
      <c r="B4" s="9" t="inlineStr">
        <is>
          <t>A 総覧</t>
        </is>
      </c>
      <c r="C4" s="9" t="inlineStr">
        <is>
          <t>伝票データの 4 つの源泉を言える</t>
        </is>
      </c>
      <c r="D4" s="8" t="inlineStr">
        <is>
          <t>index.html</t>
        </is>
      </c>
      <c r="E4" s="9" t="inlineStr">
        <is>
          <t>主データ／既存伝票データ／Customizing／ハードコード（ABAP）を、それぞれ例つきで説明できる</t>
        </is>
      </c>
      <c r="F4" s="8" t="n">
        <v>10</v>
      </c>
      <c r="G4" s="8" t="inlineStr"/>
      <c r="H4" s="7" t="inlineStr"/>
      <c r="I4" s="9" t="inlineStr"/>
    </row>
    <row r="5" ht="26" customHeight="1">
      <c r="A5" s="6" t="n">
        <v>3</v>
      </c>
      <c r="B5" s="4" t="inlineStr">
        <is>
          <t>A 総覧</t>
        </is>
      </c>
      <c r="C5" s="4" t="inlineStr">
        <is>
          <t>端到端の流れを白紙に書ける</t>
        </is>
      </c>
      <c r="D5" s="6" t="inlineStr">
        <is>
          <t>index.html</t>
        </is>
      </c>
      <c r="E5" s="4" t="inlineStr">
        <is>
          <t>受注（VA01）→ 変更（VA02：再決定・ブロック）→ 照会（VC/2）→ 出荷（VL01N・PGI）→ 請求（VF01）→ 情報照会 の順を説明できる</t>
        </is>
      </c>
      <c r="F5" s="6" t="n">
        <v>10</v>
      </c>
      <c r="G5" s="6" t="inlineStr"/>
      <c r="H5" s="7" t="inlineStr"/>
      <c r="I5" s="4" t="inlineStr"/>
    </row>
    <row r="6" ht="39" customHeight="1">
      <c r="A6" s="8" t="n">
        <v>4</v>
      </c>
      <c r="B6" s="9" t="inlineStr">
        <is>
          <t>B 概念と設計</t>
        </is>
      </c>
      <c r="C6" s="9" t="inlineStr">
        <is>
          <t>出荷プラントの 3 段階の優先順位を実測で示せる</t>
        </is>
      </c>
      <c r="D6" s="8" t="inlineStr">
        <is>
          <t>concept.html</t>
        </is>
      </c>
      <c r="E6" s="9" t="inlineStr">
        <is>
          <t>① 客先品目情報（VD51）→ ② 得意先マスタ 出荷先（XD02 出荷タブ）→ ③ 品目マスタ 販売組織1（MM02）の順で採用されることを、受注と VBAP-WERKS で確認した</t>
        </is>
      </c>
      <c r="F6" s="8" t="n">
        <v>10</v>
      </c>
      <c r="G6" s="8" t="inlineStr"/>
      <c r="H6" s="7" t="inlineStr"/>
      <c r="I6" s="9" t="inlineStr"/>
    </row>
    <row r="7" ht="26" customHeight="1">
      <c r="A7" s="6" t="n">
        <v>5</v>
      </c>
      <c r="B7" s="4" t="inlineStr">
        <is>
          <t>B 概念と設計</t>
        </is>
      </c>
      <c r="C7" s="4" t="inlineStr">
        <is>
          <t>明細カテゴリ決定の 4 つのキーを暗唱できる</t>
        </is>
      </c>
      <c r="D7" s="6" t="inlineStr">
        <is>
          <t>concept.html</t>
        </is>
      </c>
      <c r="E7" s="4" t="inlineStr">
        <is>
          <t>販売伝票タイプ × 品目カテゴリグループ × 品目使用目的 × 高レベル明細カテゴリ（決定テーブル VOV4）</t>
        </is>
      </c>
      <c r="F7" s="6" t="n">
        <v>10</v>
      </c>
      <c r="G7" s="6" t="inlineStr"/>
      <c r="H7" s="7" t="inlineStr"/>
      <c r="I7" s="4" t="inlineStr"/>
    </row>
    <row r="8" ht="26" customHeight="1">
      <c r="A8" s="8" t="n">
        <v>6</v>
      </c>
      <c r="B8" s="9" t="inlineStr">
        <is>
          <t>B 概念と設計</t>
        </is>
      </c>
      <c r="C8" s="9" t="inlineStr">
        <is>
          <t>明細カテゴリ TAN の性質を説明できる</t>
        </is>
      </c>
      <c r="D8" s="8" t="inlineStr">
        <is>
          <t>concept.html</t>
        </is>
      </c>
      <c r="E8" s="9" t="inlineStr">
        <is>
          <t>所要量タイプが空＝所要量を作らず在庫を持たない（受注在庫 E は戦略グループと所要量クラスの設計）と説明できる</t>
        </is>
      </c>
      <c r="F8" s="8" t="n">
        <v>10</v>
      </c>
      <c r="G8" s="8" t="inlineStr"/>
      <c r="H8" s="7" t="inlineStr"/>
      <c r="I8" s="9" t="inlineStr"/>
    </row>
    <row r="9" ht="26" customHeight="1">
      <c r="A9" s="6" t="n">
        <v>7</v>
      </c>
      <c r="B9" s="4" t="inlineStr">
        <is>
          <t>B 概念と設計</t>
        </is>
      </c>
      <c r="C9" s="4" t="inlineStr">
        <is>
          <t>得意先変更の再決定ルールを 7 項目・4 項目で言える</t>
        </is>
      </c>
      <c r="D9" s="6" t="inlineStr">
        <is>
          <t>concept.html</t>
        </is>
      </c>
      <c r="E9" s="4" t="inlineStr">
        <is>
          <t>再決定：得意先マスタ・客先品目情報・テキスト・無償品・与力価格・出力・出荷プラントと出荷ポイント／不変：販売エリア・販売事務所と販売グループ・可用性と製品割当・バッチ</t>
        </is>
      </c>
      <c r="F9" s="6" t="n">
        <v>10</v>
      </c>
      <c r="G9" s="6" t="inlineStr"/>
      <c r="H9" s="7" t="inlineStr"/>
      <c r="I9" s="4" t="inlineStr"/>
    </row>
    <row r="10" ht="26" customHeight="1">
      <c r="A10" s="8" t="n">
        <v>8</v>
      </c>
      <c r="B10" s="9" t="inlineStr">
        <is>
          <t>B 概念と設計</t>
        </is>
      </c>
      <c r="C10" s="9" t="inlineStr">
        <is>
          <t>ブロックの 3 階層と由来 3 通りを説明できる</t>
        </is>
      </c>
      <c r="D10" s="8" t="inlineStr">
        <is>
          <t>concept.html</t>
        </is>
      </c>
      <c r="E10" s="9" t="inlineStr">
        <is>
          <t>ヘッダ（納入・請求）・明細（請求）・納入日程行（納入）と、由来（手動／Customizing／チェック）を区別できる</t>
        </is>
      </c>
      <c r="F10" s="8" t="n">
        <v>10</v>
      </c>
      <c r="G10" s="8" t="inlineStr"/>
      <c r="H10" s="7" t="inlineStr"/>
      <c r="I10" s="9" t="inlineStr"/>
    </row>
    <row r="11" ht="39" customHeight="1">
      <c r="A11" s="6" t="n">
        <v>9</v>
      </c>
      <c r="B11" s="4" t="inlineStr">
        <is>
          <t>B 概念と設計</t>
        </is>
      </c>
      <c r="C11" s="4" t="inlineStr">
        <is>
          <t>Sales Summary の画面構成がどこで決まるか言える</t>
        </is>
      </c>
      <c r="D11" s="6" t="inlineStr">
        <is>
          <t>concept.html</t>
        </is>
      </c>
      <c r="E11" s="4" t="inlineStr">
        <is>
          <t>SIS の Customizing 4 画面（Report Views／Views for an Evaluation／Report Views for a User／Last Documents for a Customer）</t>
        </is>
      </c>
      <c r="F11" s="6" t="n">
        <v>10</v>
      </c>
      <c r="G11" s="6" t="inlineStr"/>
      <c r="H11" s="7" t="inlineStr"/>
      <c r="I11" s="4" t="inlineStr"/>
    </row>
    <row r="12" ht="39" customHeight="1">
      <c r="A12" s="8" t="n">
        <v>10</v>
      </c>
      <c r="B12" s="9" t="inlineStr">
        <is>
          <t>C 配置（SPRO / マスタ）</t>
        </is>
      </c>
      <c r="C12" s="9" t="inlineStr">
        <is>
          <t>前提与环境确认（受注が成立する 5 条件）</t>
        </is>
      </c>
      <c r="D12" s="8" t="inlineStr">
        <is>
          <t>config.html#c0</t>
        </is>
      </c>
      <c r="E12" s="9" t="inlineStr">
        <is>
          <t>確認（自系统での確認方法） ① VA01 で OR ＋ 得意先 1000 まで入れて Enter し、概況画面（Create Standard Order: Overview）が開くこと。</t>
        </is>
      </c>
      <c r="F12" s="8" t="n">
        <v>15</v>
      </c>
      <c r="G12" s="8" t="inlineStr"/>
      <c r="H12" s="7" t="inlineStr"/>
      <c r="I12" s="9" t="inlineStr"/>
    </row>
    <row r="13" ht="26" customHeight="1">
      <c r="A13" s="6" t="n">
        <v>11</v>
      </c>
      <c r="B13" s="4" t="inlineStr">
        <is>
          <t>C 配置（SPRO / マスタ）</t>
        </is>
      </c>
      <c r="C13" s="4" t="inlineStr">
        <is>
          <t>伝票タイプ（Sales Document Types）— 動画の Customizing ①</t>
        </is>
      </c>
      <c r="D13" s="6" t="inlineStr">
        <is>
          <t>config.html#c1</t>
        </is>
      </c>
      <c r="E13" s="4" t="inlineStr">
        <is>
          <t>確認（自系统での確認方法） ① VOV8 の一覧に OR と作成した ZOR1 が並んでいる。</t>
        </is>
      </c>
      <c r="F13" s="6" t="n">
        <v>15</v>
      </c>
      <c r="G13" s="6" t="inlineStr"/>
      <c r="H13" s="7" t="inlineStr"/>
      <c r="I13" s="4" t="inlineStr"/>
    </row>
    <row r="14" ht="26" customHeight="1">
      <c r="A14" s="8" t="n">
        <v>12</v>
      </c>
      <c r="B14" s="9" t="inlineStr">
        <is>
          <t>C 配置（SPRO / マスタ）</t>
        </is>
      </c>
      <c r="C14" s="9" t="inlineStr">
        <is>
          <t>明細カテゴリ（Item Categories）— 明細の性格を決める</t>
        </is>
      </c>
      <c r="D14" s="8" t="inlineStr">
        <is>
          <t>config.html#c2</t>
        </is>
      </c>
      <c r="E14" s="9" t="inlineStr">
        <is>
          <t>確認（自系统での確認方法） ① VOV7 で TAN の「所要量タイプ」が空／「与力関連」が ON であること。</t>
        </is>
      </c>
      <c r="F14" s="8" t="n">
        <v>15</v>
      </c>
      <c r="G14" s="8" t="inlineStr"/>
      <c r="H14" s="7" t="inlineStr"/>
      <c r="I14" s="9" t="inlineStr"/>
    </row>
    <row r="15" ht="18" customHeight="1">
      <c r="A15" s="6" t="n">
        <v>13</v>
      </c>
      <c r="B15" s="4" t="inlineStr">
        <is>
          <t>C 配置（SPRO / マスタ）</t>
        </is>
      </c>
      <c r="C15" s="4" t="inlineStr">
        <is>
          <t>得意先勘定グループ（Customer Account Groups）— 動画の Customizing ②</t>
        </is>
      </c>
      <c r="D15" s="6" t="inlineStr">
        <is>
          <t>config.html#c3</t>
        </is>
      </c>
      <c r="E15" s="4" t="inlineStr">
        <is>
          <t>確認（自系统での確認方法） ① OVT0 の一覧に 0001〜0007 があること。</t>
        </is>
      </c>
      <c r="F15" s="6" t="n">
        <v>15</v>
      </c>
      <c r="G15" s="6" t="inlineStr"/>
      <c r="H15" s="7" t="inlineStr"/>
      <c r="I15" s="4" t="inlineStr"/>
    </row>
    <row r="16" ht="18" customHeight="1">
      <c r="A16" s="8" t="n">
        <v>14</v>
      </c>
      <c r="B16" s="9" t="inlineStr">
        <is>
          <t>C 配置（SPRO / マスタ）</t>
        </is>
      </c>
      <c r="C16" s="9" t="inlineStr">
        <is>
          <t>得意先グループ（Customer Groups）— 動画の Customizing ③</t>
        </is>
      </c>
      <c r="D16" s="8" t="inlineStr">
        <is>
          <t>config.html#c4</t>
        </is>
      </c>
      <c r="E16" s="9" t="inlineStr">
        <is>
          <t>確認（自系统での確認方法） ① OVS9 の一覧が読めること。</t>
        </is>
      </c>
      <c r="F16" s="8" t="n">
        <v>15</v>
      </c>
      <c r="G16" s="8" t="inlineStr"/>
      <c r="H16" s="7" t="inlineStr"/>
      <c r="I16" s="9" t="inlineStr"/>
    </row>
    <row r="17" ht="26" customHeight="1">
      <c r="A17" s="6" t="n">
        <v>15</v>
      </c>
      <c r="B17" s="4" t="inlineStr">
        <is>
          <t>C 配置（SPRO / マスタ）</t>
        </is>
      </c>
      <c r="C17" s="4" t="inlineStr">
        <is>
          <t>SIS レポートビュー（Sales Summary VC/2 の画面設計）— 動画の Customizing ④</t>
        </is>
      </c>
      <c r="D17" s="6" t="inlineStr">
        <is>
          <t>config.html#c5</t>
        </is>
      </c>
      <c r="E17" s="4" t="inlineStr">
        <is>
          <t>確認（自系统での確認方法） ① VC/2 の「View」で、001／002／003／005／100／101／102／103／900 が並ぶこと（動画と同じ）。</t>
        </is>
      </c>
      <c r="F17" s="6" t="n">
        <v>15</v>
      </c>
      <c r="G17" s="6" t="inlineStr"/>
      <c r="H17" s="7" t="inlineStr"/>
      <c r="I17" s="4" t="inlineStr"/>
    </row>
    <row r="18" ht="18" customHeight="1">
      <c r="A18" s="8" t="n">
        <v>16</v>
      </c>
      <c r="B18" s="9" t="inlineStr">
        <is>
          <t>C 配置（SPRO / マスタ）</t>
        </is>
      </c>
      <c r="C18" s="9" t="inlineStr">
        <is>
          <t>納入日程行カテゴリ（Schedule Line Categories）</t>
        </is>
      </c>
      <c r="D18" s="8" t="inlineStr">
        <is>
          <t>config.html#c6</t>
        </is>
      </c>
      <c r="E18" s="9" t="inlineStr">
        <is>
          <t>確認（自系统での確認方法） ① VA03 の納入日程行カテゴリが読めること。</t>
        </is>
      </c>
      <c r="F18" s="8" t="n">
        <v>15</v>
      </c>
      <c r="G18" s="8" t="inlineStr"/>
      <c r="H18" s="7" t="inlineStr"/>
      <c r="I18" s="9" t="inlineStr"/>
    </row>
    <row r="19" ht="18" customHeight="1">
      <c r="A19" s="6" t="n">
        <v>17</v>
      </c>
      <c r="B19" s="4" t="inlineStr">
        <is>
          <t>C 配置（SPRO / マスタ）</t>
        </is>
      </c>
      <c r="C19" s="4" t="inlineStr">
        <is>
          <t>伝票タイプ × 明細カテゴリの割当（許可テーブル）</t>
        </is>
      </c>
      <c r="D19" s="6" t="inlineStr">
        <is>
          <t>config.html#c7</t>
        </is>
      </c>
      <c r="E19" s="4" t="inlineStr">
        <is>
          <t>確認（自系统での確認方法） ① OR（または ZOR1）で TAN が使えること。</t>
        </is>
      </c>
      <c r="F19" s="6" t="n">
        <v>15</v>
      </c>
      <c r="G19" s="6" t="inlineStr"/>
      <c r="H19" s="7" t="inlineStr"/>
      <c r="I19" s="4" t="inlineStr"/>
    </row>
    <row r="20" ht="26" customHeight="1">
      <c r="A20" s="8" t="n">
        <v>18</v>
      </c>
      <c r="B20" s="9" t="inlineStr">
        <is>
          <t>C 配置（SPRO / マスタ）</t>
        </is>
      </c>
      <c r="C20" s="9" t="inlineStr">
        <is>
          <t>明細カテゴリ決定（決定テーブル）— 受注処理の心臓</t>
        </is>
      </c>
      <c r="D20" s="8" t="inlineStr">
        <is>
          <t>config.html#c8</t>
        </is>
      </c>
      <c r="E20" s="9" t="inlineStr">
        <is>
          <t>確認（自系统での確認方法） ① VA03 の明細カテゴリと、VOV4 の決定テーブルの結果が一致すること。</t>
        </is>
      </c>
      <c r="F20" s="8" t="n">
        <v>15</v>
      </c>
      <c r="G20" s="8" t="inlineStr"/>
      <c r="H20" s="7" t="inlineStr"/>
      <c r="I20" s="9" t="inlineStr"/>
    </row>
    <row r="21" ht="26" customHeight="1">
      <c r="A21" s="6" t="n">
        <v>19</v>
      </c>
      <c r="B21" s="4" t="inlineStr">
        <is>
          <t>C 配置（SPRO / マスタ）</t>
        </is>
      </c>
      <c r="C21" s="4" t="inlineStr">
        <is>
          <t>納入日程行カテゴリの決定</t>
        </is>
      </c>
      <c r="D21" s="6" t="inlineStr">
        <is>
          <t>config.html#c9</t>
        </is>
      </c>
      <c r="E21" s="4" t="inlineStr">
        <is>
          <t>確認（自系统での確認方法） ① VA03 → VOV5 → VOV6 の順で、同じカテゴリに行き着くこと。</t>
        </is>
      </c>
      <c r="F21" s="6" t="n">
        <v>15</v>
      </c>
      <c r="G21" s="6" t="inlineStr"/>
      <c r="H21" s="7" t="inlineStr"/>
      <c r="I21" s="4" t="inlineStr"/>
    </row>
    <row r="22" ht="26" customHeight="1">
      <c r="A22" s="8" t="n">
        <v>20</v>
      </c>
      <c r="B22" s="9" t="inlineStr">
        <is>
          <t>C 配置（SPRO / マスタ）</t>
        </is>
      </c>
      <c r="C22" s="9" t="inlineStr">
        <is>
          <t>出荷プラントの自動提案（3 つの優先順位）</t>
        </is>
      </c>
      <c r="D22" s="8" t="inlineStr">
        <is>
          <t>config.html#c10</t>
        </is>
      </c>
      <c r="E22" s="9" t="inlineStr">
        <is>
          <t>確認（自系统での確認方法） ① 3 か所すべての値を書き出し、受注に入った値が優先順位どおりであること。</t>
        </is>
      </c>
      <c r="F22" s="8" t="n">
        <v>15</v>
      </c>
      <c r="G22" s="8" t="inlineStr"/>
      <c r="H22" s="7" t="inlineStr"/>
      <c r="I22" s="9" t="inlineStr"/>
    </row>
    <row r="23" ht="26" customHeight="1">
      <c r="A23" s="6" t="n">
        <v>21</v>
      </c>
      <c r="B23" s="4" t="inlineStr">
        <is>
          <t>C 配置（SPRO / マスタ）</t>
        </is>
      </c>
      <c r="C23" s="4" t="inlineStr">
        <is>
          <t>パートナー機能と決定（得意先マスタ側）</t>
        </is>
      </c>
      <c r="D23" s="6" t="inlineStr">
        <is>
          <t>config.html#c11</t>
        </is>
      </c>
      <c r="E23" s="4" t="inlineStr">
        <is>
          <t>確認（自系统での確認方法） ① 得意先マスタの SP／BP／PY／SH が受注のパートナーにそのまま提案されること。</t>
        </is>
      </c>
      <c r="F23" s="6" t="n">
        <v>15</v>
      </c>
      <c r="G23" s="6" t="inlineStr"/>
      <c r="H23" s="7" t="inlineStr"/>
      <c r="I23" s="4" t="inlineStr"/>
    </row>
    <row r="24" ht="26" customHeight="1">
      <c r="A24" s="8" t="n">
        <v>22</v>
      </c>
      <c r="B24" s="9" t="inlineStr">
        <is>
          <t>C 配置（SPRO / マスタ）</t>
        </is>
      </c>
      <c r="C24" s="9" t="inlineStr">
        <is>
          <t>与力価格決定（条件技術の入口）</t>
        </is>
      </c>
      <c r="D24" s="8" t="inlineStr">
        <is>
          <t>config.html#c12</t>
        </is>
      </c>
      <c r="E24" s="9" t="inlineStr">
        <is>
          <t>確認（自系统での確認方法） ① 受注の Net value が条件レコードの合計から説明できること。</t>
        </is>
      </c>
      <c r="F24" s="8" t="n">
        <v>15</v>
      </c>
      <c r="G24" s="8" t="inlineStr"/>
      <c r="H24" s="7" t="inlineStr"/>
      <c r="I24" s="9" t="inlineStr"/>
    </row>
    <row r="25" ht="26" customHeight="1">
      <c r="A25" s="6" t="n">
        <v>23</v>
      </c>
      <c r="B25" s="4" t="inlineStr">
        <is>
          <t>C 配置（SPRO / マスタ）</t>
        </is>
      </c>
      <c r="C25" s="4" t="inlineStr">
        <is>
          <t>在庫確認（ATP）の 3 階層</t>
        </is>
      </c>
      <c r="D25" s="6" t="inlineStr">
        <is>
          <t>config.html#c13</t>
        </is>
      </c>
      <c r="E25" s="4" t="inlineStr">
        <is>
          <t>確認（自系统での確認方法） ① 3 階層のどこで在庫確認が ON になっているかを実値で説明できること。</t>
        </is>
      </c>
      <c r="F25" s="6" t="n">
        <v>15</v>
      </c>
      <c r="G25" s="6" t="inlineStr"/>
      <c r="H25" s="7" t="inlineStr"/>
      <c r="I25" s="4" t="inlineStr"/>
    </row>
    <row r="26" ht="26" customHeight="1">
      <c r="A26" s="8" t="n">
        <v>24</v>
      </c>
      <c r="B26" s="9" t="inlineStr">
        <is>
          <t>C 配置（SPRO / マスタ）</t>
        </is>
      </c>
      <c r="C26" s="9" t="inlineStr">
        <is>
          <t>不完全性チェック（Incompletion）—「不完全な受注」はこう作られる</t>
        </is>
      </c>
      <c r="D26" s="8" t="inlineStr">
        <is>
          <t>config.html#c14</t>
        </is>
      </c>
      <c r="E26" s="9" t="inlineStr">
        <is>
          <t>確認（自系统での確認方法） ① 動画の「Enter PO number」がどの設定に由来するかを、OVA2 を指して説明できること。</t>
        </is>
      </c>
      <c r="F26" s="8" t="n">
        <v>15</v>
      </c>
      <c r="G26" s="8" t="inlineStr"/>
      <c r="H26" s="7" t="inlineStr"/>
      <c r="I26" s="9" t="inlineStr"/>
    </row>
    <row r="27" ht="26" customHeight="1">
      <c r="A27" s="6" t="n">
        <v>25</v>
      </c>
      <c r="B27" s="4" t="inlineStr">
        <is>
          <t>C 配置（SPRO / マスタ）</t>
        </is>
      </c>
      <c r="C27" s="4" t="inlineStr">
        <is>
          <t>コピー管理（受注 → 出荷 → 請求）</t>
        </is>
      </c>
      <c r="D27" s="6" t="inlineStr">
        <is>
          <t>config.html#c15</t>
        </is>
      </c>
      <c r="E27" s="4" t="inlineStr">
        <is>
          <t>確認（自系统での確認方法） ① 参照コピーで「何が引き継がれ、何が再決定されたか」を値の差分で示せること。</t>
        </is>
      </c>
      <c r="F27" s="6" t="n">
        <v>15</v>
      </c>
      <c r="G27" s="6" t="inlineStr"/>
      <c r="H27" s="7" t="inlineStr"/>
      <c r="I27" s="4" t="inlineStr"/>
    </row>
    <row r="28" ht="26" customHeight="1">
      <c r="A28" s="8" t="n">
        <v>26</v>
      </c>
      <c r="B28" s="9" t="inlineStr">
        <is>
          <t>C 配置（SPRO / マスタ）</t>
        </is>
      </c>
      <c r="C28" s="9" t="inlineStr">
        <is>
          <t>出荷・請求・自動転記（受注の先）</t>
        </is>
      </c>
      <c r="D28" s="8" t="inlineStr">
        <is>
          <t>config.html#c16</t>
        </is>
      </c>
      <c r="E28" s="9" t="inlineStr">
        <is>
          <t>確認（自系统での確認方法） ① 伝票フローに受注・出荷・請求の 3 種が並び、数量・金額が整合していること。</t>
        </is>
      </c>
      <c r="F28" s="8" t="n">
        <v>15</v>
      </c>
      <c r="G28" s="8" t="inlineStr"/>
      <c r="H28" s="7" t="inlineStr"/>
      <c r="I28" s="9" t="inlineStr"/>
    </row>
    <row r="29" ht="18" customHeight="1">
      <c r="A29" s="6" t="n">
        <v>27</v>
      </c>
      <c r="B29" s="4" t="inlineStr">
        <is>
          <t>D 練習①</t>
        </is>
      </c>
      <c r="C29" s="4" t="inlineStr">
        <is>
          <t>1-1 VA01 初期画面 —— 販売エリアを導出する（動画 08:37 付近）</t>
        </is>
      </c>
      <c r="D29" s="6" t="inlineStr">
        <is>
          <t>handson-1.html</t>
        </is>
      </c>
      <c r="E29" s="4" t="inlineStr">
        <is>
          <t>手順どおり操作し、「期待結果」の記載とシステムの状態が一致することを確認した</t>
        </is>
      </c>
      <c r="F29" s="6" t="n">
        <v>20</v>
      </c>
      <c r="G29" s="6" t="inlineStr"/>
      <c r="H29" s="7" t="inlineStr"/>
      <c r="I29" s="4" t="inlineStr"/>
    </row>
    <row r="30" ht="18" customHeight="1">
      <c r="A30" s="8" t="n">
        <v>28</v>
      </c>
      <c r="B30" s="9" t="inlineStr">
        <is>
          <t>D 練習①</t>
        </is>
      </c>
      <c r="C30" s="9" t="inlineStr">
        <is>
          <t>1-2 概況画面 —— ヘッダと主データからの提案（動画 09:28・13:38 付近）</t>
        </is>
      </c>
      <c r="D30" s="8" t="inlineStr">
        <is>
          <t>handson-1.html</t>
        </is>
      </c>
      <c r="E30" s="9" t="inlineStr">
        <is>
          <t>手順どおり操作し、「期待結果」の記載とシステムの状態が一致することを確認した</t>
        </is>
      </c>
      <c r="F30" s="8" t="n">
        <v>20</v>
      </c>
      <c r="G30" s="8" t="inlineStr"/>
      <c r="H30" s="7" t="inlineStr"/>
      <c r="I30" s="9" t="inlineStr"/>
    </row>
    <row r="31" ht="18" customHeight="1">
      <c r="A31" s="6" t="n">
        <v>29</v>
      </c>
      <c r="B31" s="4" t="inlineStr">
        <is>
          <t>D 練習①</t>
        </is>
      </c>
      <c r="C31" s="4" t="inlineStr">
        <is>
          <t>1-3 明細の入力 —— 品目と出荷プラントの自動提案（動画 18:39・19:51 付近）</t>
        </is>
      </c>
      <c r="D31" s="6" t="inlineStr">
        <is>
          <t>handson-1.html</t>
        </is>
      </c>
      <c r="E31" s="4" t="inlineStr">
        <is>
          <t>手順どおり操作し、「期待結果」の記載とシステムの状態が一致することを確認した</t>
        </is>
      </c>
      <c r="F31" s="6" t="n">
        <v>20</v>
      </c>
      <c r="G31" s="6" t="inlineStr"/>
      <c r="H31" s="7" t="inlineStr"/>
      <c r="I31" s="4" t="inlineStr"/>
    </row>
    <row r="32" ht="18" customHeight="1">
      <c r="A32" s="8" t="n">
        <v>30</v>
      </c>
      <c r="B32" s="9" t="inlineStr">
        <is>
          <t>D 練習①</t>
        </is>
      </c>
      <c r="C32" s="9" t="inlineStr">
        <is>
          <t>1-4 保存と伝票フロー（不完全性の検証）</t>
        </is>
      </c>
      <c r="D32" s="8" t="inlineStr">
        <is>
          <t>handson-1.html</t>
        </is>
      </c>
      <c r="E32" s="9" t="inlineStr">
        <is>
          <t>手順どおり操作し、「期待結果」の記載とシステムの状態が一致することを確認した</t>
        </is>
      </c>
      <c r="F32" s="8" t="n">
        <v>20</v>
      </c>
      <c r="G32" s="8" t="inlineStr"/>
      <c r="H32" s="7" t="inlineStr"/>
      <c r="I32" s="9" t="inlineStr"/>
    </row>
    <row r="33" ht="18" customHeight="1">
      <c r="A33" s="6" t="n">
        <v>31</v>
      </c>
      <c r="B33" s="4" t="inlineStr">
        <is>
          <t>D 練習①</t>
        </is>
      </c>
      <c r="C33" s="4" t="inlineStr">
        <is>
          <t>1-5 証拠を取る —— テーブルを並べて「どの源泉が効いたか」を示す</t>
        </is>
      </c>
      <c r="D33" s="6" t="inlineStr">
        <is>
          <t>handson-1.html</t>
        </is>
      </c>
      <c r="E33" s="4" t="inlineStr">
        <is>
          <t>手順どおり操作し、「期待結果」の記載とシステムの状態が一致することを確認した</t>
        </is>
      </c>
      <c r="F33" s="6" t="n">
        <v>20</v>
      </c>
      <c r="G33" s="6" t="inlineStr"/>
      <c r="H33" s="7" t="inlineStr"/>
      <c r="I33" s="4" t="inlineStr"/>
    </row>
    <row r="34" ht="26" customHeight="1">
      <c r="A34" s="8" t="n">
        <v>32</v>
      </c>
      <c r="B34" s="9" t="inlineStr">
        <is>
          <t>D 練習①（验收）</t>
        </is>
      </c>
      <c r="C34" s="9" t="inlineStr">
        <is>
          <t>VA01 で OR ＋ 得意先 1000 から概況画面まで進み、販売エリアが 1000/10/00 になった</t>
        </is>
      </c>
      <c r="D34" s="8" t="inlineStr">
        <is>
          <t>handson-1.html</t>
        </is>
      </c>
      <c r="E34" s="9" t="inlineStr">
        <is>
          <t>VA01 で OR ＋ 得意先 1000 から概況画面まで進み、販売エリアが 1000/10/00 になった</t>
        </is>
      </c>
      <c r="F34" s="8" t="n">
        <v>5</v>
      </c>
      <c r="G34" s="8" t="inlineStr"/>
      <c r="H34" s="7" t="inlineStr"/>
      <c r="I34" s="9" t="inlineStr"/>
    </row>
    <row r="35" ht="26" customHeight="1">
      <c r="A35" s="6" t="n">
        <v>33</v>
      </c>
      <c r="B35" s="4" t="inlineStr">
        <is>
          <t>D 練習①（验收）</t>
        </is>
      </c>
      <c r="C35" s="4" t="inlineStr">
        <is>
          <t>「Sales area for customer」ダイアログ（または自動決定）の意味を説明できる</t>
        </is>
      </c>
      <c r="D35" s="6" t="inlineStr">
        <is>
          <t>handson-1.html</t>
        </is>
      </c>
      <c r="E35" s="4" t="inlineStr">
        <is>
          <t>「Sales area for customer」ダイアログ（または自動決定）の意味を説明できる</t>
        </is>
      </c>
      <c r="F35" s="6" t="n">
        <v>5</v>
      </c>
      <c r="G35" s="6" t="inlineStr"/>
      <c r="H35" s="7" t="inlineStr"/>
      <c r="I35" s="4" t="inlineStr"/>
    </row>
    <row r="36" ht="18" customHeight="1">
      <c r="A36" s="8" t="n">
        <v>34</v>
      </c>
      <c r="B36" s="9" t="inlineStr">
        <is>
          <t>D 練習①（验收）</t>
        </is>
      </c>
      <c r="C36" s="9" t="inlineStr">
        <is>
          <t>ヘッダの住所・支払条件・インコタームズが得意先マスタ由来であることを示せた</t>
        </is>
      </c>
      <c r="D36" s="8" t="inlineStr">
        <is>
          <t>handson-1.html</t>
        </is>
      </c>
      <c r="E36" s="9" t="inlineStr">
        <is>
          <t>ヘッダの住所・支払条件・インコタームズが得意先マスタ由来であることを示せた</t>
        </is>
      </c>
      <c r="F36" s="8" t="n">
        <v>5</v>
      </c>
      <c r="G36" s="8" t="inlineStr"/>
      <c r="H36" s="7" t="inlineStr"/>
      <c r="I36" s="9" t="inlineStr"/>
    </row>
    <row r="37" ht="26" customHeight="1">
      <c r="A37" s="6" t="n">
        <v>35</v>
      </c>
      <c r="B37" s="4" t="inlineStr">
        <is>
          <t>D 練習①（验收）</t>
        </is>
      </c>
      <c r="C37" s="4" t="inlineStr">
        <is>
          <t>PO Number を空にしたときのエラーを再現し、不完全性チェックの仕組みと結びつけられた</t>
        </is>
      </c>
      <c r="D37" s="6" t="inlineStr">
        <is>
          <t>handson-1.html</t>
        </is>
      </c>
      <c r="E37" s="4" t="inlineStr">
        <is>
          <t>PO Number を空にしたときのエラーを再現し、不完全性チェックの仕組みと結びつけられた</t>
        </is>
      </c>
      <c r="F37" s="6" t="n">
        <v>5</v>
      </c>
      <c r="G37" s="6" t="inlineStr"/>
      <c r="H37" s="7" t="inlineStr"/>
      <c r="I37" s="4" t="inlineStr"/>
    </row>
    <row r="38" ht="18" customHeight="1">
      <c r="A38" s="8" t="n">
        <v>36</v>
      </c>
      <c r="B38" s="9" t="inlineStr">
        <is>
          <t>D 練習①（验收）</t>
        </is>
      </c>
      <c r="C38" s="9" t="inlineStr">
        <is>
          <t>明細 T-ATA30 を入力し、明細カテゴリ TAN になった</t>
        </is>
      </c>
      <c r="D38" s="8" t="inlineStr">
        <is>
          <t>handson-1.html</t>
        </is>
      </c>
      <c r="E38" s="9" t="inlineStr">
        <is>
          <t>明細 T-ATA30 を入力し、明細カテゴリ TAN になった</t>
        </is>
      </c>
      <c r="F38" s="8" t="n">
        <v>5</v>
      </c>
      <c r="G38" s="8" t="inlineStr"/>
      <c r="H38" s="7" t="inlineStr"/>
      <c r="I38" s="9" t="inlineStr"/>
    </row>
    <row r="39" ht="18" customHeight="1">
      <c r="A39" s="6" t="n">
        <v>37</v>
      </c>
      <c r="B39" s="4" t="inlineStr">
        <is>
          <t>D 練習①（验收）</t>
        </is>
      </c>
      <c r="C39" s="4" t="inlineStr">
        <is>
          <t>明細の出荷プラントが自動で入った（動画では 1200）</t>
        </is>
      </c>
      <c r="D39" s="6" t="inlineStr">
        <is>
          <t>handson-1.html</t>
        </is>
      </c>
      <c r="E39" s="4" t="inlineStr">
        <is>
          <t>明細の出荷プラントが自動で入った（動画では 1200）</t>
        </is>
      </c>
      <c r="F39" s="6" t="n">
        <v>5</v>
      </c>
      <c r="G39" s="6" t="inlineStr"/>
      <c r="H39" s="7" t="inlineStr"/>
      <c r="I39" s="4" t="inlineStr"/>
    </row>
    <row r="40" ht="18" customHeight="1">
      <c r="A40" s="8" t="n">
        <v>38</v>
      </c>
      <c r="B40" s="9" t="inlineStr">
        <is>
          <t>D 練習①（验收）</t>
        </is>
      </c>
      <c r="C40" s="9" t="inlineStr">
        <is>
          <t>Net value が 0 以外になり、条件タイプ（PR00 等）を条件画面で指せた</t>
        </is>
      </c>
      <c r="D40" s="8" t="inlineStr">
        <is>
          <t>handson-1.html</t>
        </is>
      </c>
      <c r="E40" s="9" t="inlineStr">
        <is>
          <t>Net value が 0 以外になり、条件タイプ（PR00 等）を条件画面で指せた</t>
        </is>
      </c>
      <c r="F40" s="8" t="n">
        <v>5</v>
      </c>
      <c r="G40" s="8" t="inlineStr"/>
      <c r="H40" s="7" t="inlineStr"/>
      <c r="I40" s="9" t="inlineStr"/>
    </row>
    <row r="41" ht="18" customHeight="1">
      <c r="A41" s="6" t="n">
        <v>39</v>
      </c>
      <c r="B41" s="4" t="inlineStr">
        <is>
          <t>D 練習①（验收）</t>
        </is>
      </c>
      <c r="C41" s="4" t="inlineStr">
        <is>
          <t>保存して受注番号を取得し、VA03 でヘッダ・明細・納入日程行・パートナーを確認した</t>
        </is>
      </c>
      <c r="D41" s="6" t="inlineStr">
        <is>
          <t>handson-1.html</t>
        </is>
      </c>
      <c r="E41" s="4" t="inlineStr">
        <is>
          <t>保存して受注番号を取得し、VA03 でヘッダ・明細・納入日程行・パートナーを確認した</t>
        </is>
      </c>
      <c r="F41" s="6" t="n">
        <v>5</v>
      </c>
      <c r="G41" s="6" t="inlineStr"/>
      <c r="H41" s="7" t="inlineStr"/>
      <c r="I41" s="4" t="inlineStr"/>
    </row>
    <row r="42" ht="26" customHeight="1">
      <c r="A42" s="8" t="n">
        <v>40</v>
      </c>
      <c r="B42" s="9" t="inlineStr">
        <is>
          <t>D 練習①（验收）</t>
        </is>
      </c>
      <c r="C42" s="9" t="inlineStr">
        <is>
          <t>SE16N で VBAP の PSTYV・WERKS を読み、MVKE／KNVV／KNMT と突き合わせた</t>
        </is>
      </c>
      <c r="D42" s="8" t="inlineStr">
        <is>
          <t>handson-1.html</t>
        </is>
      </c>
      <c r="E42" s="9" t="inlineStr">
        <is>
          <t>SE16N で VBAP の PSTYV・WERKS を読み、MVKE／KNVV／KNMT と突き合わせた</t>
        </is>
      </c>
      <c r="F42" s="8" t="n">
        <v>5</v>
      </c>
      <c r="G42" s="8" t="inlineStr"/>
      <c r="H42" s="7" t="inlineStr"/>
      <c r="I42" s="9" t="inlineStr"/>
    </row>
    <row r="43" ht="26" customHeight="1">
      <c r="A43" s="6" t="n">
        <v>41</v>
      </c>
      <c r="B43" s="4" t="inlineStr">
        <is>
          <t>D 練習①（验收）</t>
        </is>
      </c>
      <c r="C43" s="4" t="inlineStr">
        <is>
          <t>「値の出所」表（最低 6 項目）を作り、4 つの源泉（主データ／既存伝票／Customizing／ABAP）のどれかを分類できた</t>
        </is>
      </c>
      <c r="D43" s="6" t="inlineStr">
        <is>
          <t>handson-1.html</t>
        </is>
      </c>
      <c r="E43" s="4" t="inlineStr">
        <is>
          <t>「値の出所」表（最低 6 項目）を作り、4 つの源泉（主データ／既存伝票／Customizing／ABAP）のどれかを分類できた</t>
        </is>
      </c>
      <c r="F43" s="6" t="n">
        <v>5</v>
      </c>
      <c r="G43" s="6" t="inlineStr"/>
      <c r="H43" s="7" t="inlineStr"/>
      <c r="I43" s="4" t="inlineStr"/>
    </row>
    <row r="44" ht="18" customHeight="1">
      <c r="A44" s="8" t="n">
        <v>42</v>
      </c>
      <c r="B44" s="9" t="inlineStr">
        <is>
          <t>D 練習①（验收）</t>
        </is>
      </c>
      <c r="C44" s="9" t="inlineStr">
        <is>
          <t>つまずいた点を「症状 → 根因 → 証拠 → 処置 → 再発防止」で 1 件以上記録した</t>
        </is>
      </c>
      <c r="D44" s="8" t="inlineStr">
        <is>
          <t>handson-1.html</t>
        </is>
      </c>
      <c r="E44" s="9" t="inlineStr">
        <is>
          <t>つまずいた点を「症状 → 根因 → 証拠 → 処置 → 再発防止」で 1 件以上記録した</t>
        </is>
      </c>
      <c r="F44" s="8" t="n">
        <v>5</v>
      </c>
      <c r="G44" s="8" t="inlineStr"/>
      <c r="H44" s="7" t="inlineStr"/>
      <c r="I44" s="9" t="inlineStr"/>
    </row>
    <row r="45" ht="18" customHeight="1">
      <c r="A45" s="6" t="n">
        <v>43</v>
      </c>
      <c r="B45" s="4" t="inlineStr">
        <is>
          <t>E 練習②</t>
        </is>
      </c>
      <c r="C45" s="4" t="inlineStr">
        <is>
          <t>2-1 変更の 3 方式を押さえる（動画の Overview: Changing of sales documents）</t>
        </is>
      </c>
      <c r="D45" s="6" t="inlineStr">
        <is>
          <t>handson-2.html</t>
        </is>
      </c>
      <c r="E45" s="4" t="inlineStr">
        <is>
          <t>手順どおり操作し、「期待結果」の記載とシステムの状態が一致することを確認した</t>
        </is>
      </c>
      <c r="F45" s="6" t="n">
        <v>20</v>
      </c>
      <c r="G45" s="6" t="inlineStr"/>
      <c r="H45" s="7" t="inlineStr"/>
      <c r="I45" s="4" t="inlineStr"/>
    </row>
    <row r="46" ht="18" customHeight="1">
      <c r="A46" s="8" t="n">
        <v>44</v>
      </c>
      <c r="B46" s="9" t="inlineStr">
        <is>
          <t>E 練習②</t>
        </is>
      </c>
      <c r="C46" s="9" t="inlineStr">
        <is>
          <t>2-2 プラント変更（Change Plant）—— 動画 38:00 付近</t>
        </is>
      </c>
      <c r="D46" s="8" t="inlineStr">
        <is>
          <t>handson-2.html</t>
        </is>
      </c>
      <c r="E46" s="9" t="inlineStr">
        <is>
          <t>手順どおり操作し、「期待結果」の記載とシステムの状態が一致することを確認した</t>
        </is>
      </c>
      <c r="F46" s="8" t="n">
        <v>20</v>
      </c>
      <c r="G46" s="8" t="inlineStr"/>
      <c r="H46" s="7" t="inlineStr"/>
      <c r="I46" s="9" t="inlineStr"/>
    </row>
    <row r="47" ht="18" customHeight="1">
      <c r="A47" s="6" t="n">
        <v>45</v>
      </c>
      <c r="B47" s="4" t="inlineStr">
        <is>
          <t>E 練習②</t>
        </is>
      </c>
      <c r="C47" s="4" t="inlineStr">
        <is>
          <t>2-3 得意先変更と再決定（Changes to the Sold-to Party）—— 動画 48:01〜</t>
        </is>
      </c>
      <c r="D47" s="6" t="inlineStr">
        <is>
          <t>handson-2.html</t>
        </is>
      </c>
      <c r="E47" s="4" t="inlineStr">
        <is>
          <t>手順どおり操作し、「期待結果」の記載とシステムの状態が一致することを確認した</t>
        </is>
      </c>
      <c r="F47" s="6" t="n">
        <v>20</v>
      </c>
      <c r="G47" s="6" t="inlineStr"/>
      <c r="H47" s="7" t="inlineStr"/>
      <c r="I47" s="4" t="inlineStr"/>
    </row>
    <row r="48" ht="18" customHeight="1">
      <c r="A48" s="8" t="n">
        <v>46</v>
      </c>
      <c r="B48" s="9" t="inlineStr">
        <is>
          <t>E 練習②</t>
        </is>
      </c>
      <c r="C48" s="9" t="inlineStr">
        <is>
          <t>2-4 ブロックの 3 階層を設定・解除する（動画の Blocks スライド）</t>
        </is>
      </c>
      <c r="D48" s="8" t="inlineStr">
        <is>
          <t>handson-2.html</t>
        </is>
      </c>
      <c r="E48" s="9" t="inlineStr">
        <is>
          <t>手順どおり操作し、「期待結果」の記載とシステムの状態が一致することを確認した</t>
        </is>
      </c>
      <c r="F48" s="8" t="n">
        <v>20</v>
      </c>
      <c r="G48" s="8" t="inlineStr"/>
      <c r="H48" s="7" t="inlineStr"/>
      <c r="I48" s="9" t="inlineStr"/>
    </row>
    <row r="49" ht="18" customHeight="1">
      <c r="A49" s="6" t="n">
        <v>47</v>
      </c>
      <c r="B49" s="4" t="inlineStr">
        <is>
          <t>E 練習②</t>
        </is>
      </c>
      <c r="C49" s="4" t="inlineStr">
        <is>
          <t>2-5 証拠を取る（変更前後の比較とテーブル）</t>
        </is>
      </c>
      <c r="D49" s="6" t="inlineStr">
        <is>
          <t>handson-2.html</t>
        </is>
      </c>
      <c r="E49" s="4" t="inlineStr">
        <is>
          <t>手順どおり操作し、「期待結果」の記載とシステムの状態が一致することを確認した</t>
        </is>
      </c>
      <c r="F49" s="6" t="n">
        <v>20</v>
      </c>
      <c r="G49" s="6" t="inlineStr"/>
      <c r="H49" s="7" t="inlineStr"/>
      <c r="I49" s="4" t="inlineStr"/>
    </row>
    <row r="50" ht="18" customHeight="1">
      <c r="A50" s="8" t="n">
        <v>48</v>
      </c>
      <c r="B50" s="9" t="inlineStr">
        <is>
          <t>E 練習②（验收）</t>
        </is>
      </c>
      <c r="C50" s="9" t="inlineStr">
        <is>
          <t>変更の 3 方式（明細一括・複数伝票・文書一覧）を言い分けられる</t>
        </is>
      </c>
      <c r="D50" s="8" t="inlineStr">
        <is>
          <t>handson-2.html</t>
        </is>
      </c>
      <c r="E50" s="9" t="inlineStr">
        <is>
          <t>変更の 3 方式（明細一括・複数伝票・文書一覧）を言い分けられる</t>
        </is>
      </c>
      <c r="F50" s="8" t="n">
        <v>5</v>
      </c>
      <c r="G50" s="8" t="inlineStr"/>
      <c r="H50" s="7" t="inlineStr"/>
      <c r="I50" s="9" t="inlineStr"/>
    </row>
    <row r="51" ht="18" customHeight="1">
      <c r="A51" s="6" t="n">
        <v>49</v>
      </c>
      <c r="B51" s="4" t="inlineStr">
        <is>
          <t>E 練習②（验收）</t>
        </is>
      </c>
      <c r="C51" s="4" t="inlineStr">
        <is>
          <t>VA02 で複数明細の一括変更ができる（プラント・納入日など）</t>
        </is>
      </c>
      <c r="D51" s="6" t="inlineStr">
        <is>
          <t>handson-2.html</t>
        </is>
      </c>
      <c r="E51" s="4" t="inlineStr">
        <is>
          <t>VA02 で複数明細の一括変更ができる（プラント・納入日など）</t>
        </is>
      </c>
      <c r="F51" s="6" t="n">
        <v>5</v>
      </c>
      <c r="G51" s="6" t="inlineStr"/>
      <c r="H51" s="7" t="inlineStr"/>
      <c r="I51" s="4" t="inlineStr"/>
    </row>
    <row r="52" ht="26" customHeight="1">
      <c r="A52" s="8" t="n">
        <v>50</v>
      </c>
      <c r="B52" s="9" t="inlineStr">
        <is>
          <t>E 練習②（验收）</t>
        </is>
      </c>
      <c r="C52" s="9" t="inlineStr">
        <is>
          <t>Change Plant でプラントを変更し、出荷ポイント／出荷タブも追随することを確認した</t>
        </is>
      </c>
      <c r="D52" s="8" t="inlineStr">
        <is>
          <t>handson-2.html</t>
        </is>
      </c>
      <c r="E52" s="9" t="inlineStr">
        <is>
          <t>Change Plant でプラントを変更し、出荷ポイント／出荷タブも追随することを確認した</t>
        </is>
      </c>
      <c r="F52" s="8" t="n">
        <v>5</v>
      </c>
      <c r="G52" s="8" t="inlineStr"/>
      <c r="H52" s="7" t="inlineStr"/>
      <c r="I52" s="9" t="inlineStr"/>
    </row>
    <row r="53" ht="18" customHeight="1">
      <c r="A53" s="6" t="n">
        <v>51</v>
      </c>
      <c r="B53" s="4" t="inlineStr">
        <is>
          <t>E 練習②（验收）</t>
        </is>
      </c>
      <c r="C53" s="4" t="inlineStr">
        <is>
          <t>得意先変更を実行し、再決定される 7 項目／変わらない 4 項目を実測で示せた</t>
        </is>
      </c>
      <c r="D53" s="6" t="inlineStr">
        <is>
          <t>handson-2.html</t>
        </is>
      </c>
      <c r="E53" s="4" t="inlineStr">
        <is>
          <t>得意先変更を実行し、再決定される 7 項目／変わらない 4 項目を実測で示せた</t>
        </is>
      </c>
      <c r="F53" s="6" t="n">
        <v>5</v>
      </c>
      <c r="G53" s="6" t="inlineStr"/>
      <c r="H53" s="7" t="inlineStr"/>
      <c r="I53" s="4" t="inlineStr"/>
    </row>
    <row r="54" ht="18" customHeight="1">
      <c r="A54" s="8" t="n">
        <v>52</v>
      </c>
      <c r="B54" s="9" t="inlineStr">
        <is>
          <t>E 練習②（验收）</t>
        </is>
      </c>
      <c r="C54" s="9" t="inlineStr">
        <is>
          <t>XD02 で得意先マスタの販売エリアデータ（パートナー機能・支払条件）を確認した</t>
        </is>
      </c>
      <c r="D54" s="8" t="inlineStr">
        <is>
          <t>handson-2.html</t>
        </is>
      </c>
      <c r="E54" s="9" t="inlineStr">
        <is>
          <t>XD02 で得意先マスタの販売エリアデータ（パートナー機能・支払条件）を確認した</t>
        </is>
      </c>
      <c r="F54" s="8" t="n">
        <v>5</v>
      </c>
      <c r="G54" s="8" t="inlineStr"/>
      <c r="H54" s="7" t="inlineStr"/>
      <c r="I54" s="9" t="inlineStr"/>
    </row>
    <row r="55" ht="18" customHeight="1">
      <c r="A55" s="6" t="n">
        <v>53</v>
      </c>
      <c r="B55" s="4" t="inlineStr">
        <is>
          <t>E 練習②（验收）</t>
        </is>
      </c>
      <c r="C55" s="4" t="inlineStr">
        <is>
          <t>ブロックの 3 階層（ヘッダ・明細・納入日程行）を設定し、解除した</t>
        </is>
      </c>
      <c r="D55" s="6" t="inlineStr">
        <is>
          <t>handson-2.html</t>
        </is>
      </c>
      <c r="E55" s="4" t="inlineStr">
        <is>
          <t>ブロックの 3 階層（ヘッダ・明細・納入日程行）を設定し、解除した</t>
        </is>
      </c>
      <c r="F55" s="6" t="n">
        <v>5</v>
      </c>
      <c r="G55" s="6" t="inlineStr"/>
      <c r="H55" s="7" t="inlineStr"/>
      <c r="I55" s="4" t="inlineStr"/>
    </row>
    <row r="56" ht="26" customHeight="1">
      <c r="A56" s="8" t="n">
        <v>54</v>
      </c>
      <c r="B56" s="9" t="inlineStr">
        <is>
          <t>E 練習②（验收）</t>
        </is>
      </c>
      <c r="C56" s="9" t="inlineStr">
        <is>
          <t>「なぜこの受注は出荷できないか」を3 通り（手動／Customizing／チェック）で切り分けられる</t>
        </is>
      </c>
      <c r="D56" s="8" t="inlineStr">
        <is>
          <t>handson-2.html</t>
        </is>
      </c>
      <c r="E56" s="9" t="inlineStr">
        <is>
          <t>「なぜこの受注は出荷できないか」を3 通り（手動／Customizing／チェック）で切り分けられる</t>
        </is>
      </c>
      <c r="F56" s="8" t="n">
        <v>5</v>
      </c>
      <c r="G56" s="8" t="inlineStr"/>
      <c r="H56" s="7" t="inlineStr"/>
      <c r="I56" s="9" t="inlineStr"/>
    </row>
    <row r="57" ht="18" customHeight="1">
      <c r="A57" s="6" t="n">
        <v>55</v>
      </c>
      <c r="B57" s="4" t="inlineStr">
        <is>
          <t>E 練習②（验收）</t>
        </is>
      </c>
      <c r="C57" s="4" t="inlineStr">
        <is>
          <t>後続伝票がある受注で得意先を変えても何も変わらないことを確認（または理由を説明）した</t>
        </is>
      </c>
      <c r="D57" s="6" t="inlineStr">
        <is>
          <t>handson-2.html</t>
        </is>
      </c>
      <c r="E57" s="4" t="inlineStr">
        <is>
          <t>後続伝票がある受注で得意先を変えても何も変わらないことを確認（または理由を説明）した</t>
        </is>
      </c>
      <c r="F57" s="6" t="n">
        <v>5</v>
      </c>
      <c r="G57" s="6" t="inlineStr"/>
      <c r="H57" s="7" t="inlineStr"/>
      <c r="I57" s="4" t="inlineStr"/>
    </row>
    <row r="58" ht="18" customHeight="1">
      <c r="A58" s="8" t="n">
        <v>56</v>
      </c>
      <c r="B58" s="9" t="inlineStr">
        <is>
          <t>E 練習②（验收）</t>
        </is>
      </c>
      <c r="C58" s="9" t="inlineStr">
        <is>
          <t>SE16N で VBAP／VBEP／VBPA の変更を確認した</t>
        </is>
      </c>
      <c r="D58" s="8" t="inlineStr">
        <is>
          <t>handson-2.html</t>
        </is>
      </c>
      <c r="E58" s="9" t="inlineStr">
        <is>
          <t>SE16N で VBAP／VBEP／VBPA の変更を確認した</t>
        </is>
      </c>
      <c r="F58" s="8" t="n">
        <v>5</v>
      </c>
      <c r="G58" s="8" t="inlineStr"/>
      <c r="H58" s="7" t="inlineStr"/>
      <c r="I58" s="9" t="inlineStr"/>
    </row>
    <row r="59" ht="18" customHeight="1">
      <c r="A59" s="6" t="n">
        <v>57</v>
      </c>
      <c r="B59" s="4" t="inlineStr">
        <is>
          <t>E 練習②（验收）</t>
        </is>
      </c>
      <c r="C59" s="4" t="inlineStr">
        <is>
          <t>変更履歴（VA03 の機能、または CDHDR／CDPOS）で変更の事実を示せた</t>
        </is>
      </c>
      <c r="D59" s="6" t="inlineStr">
        <is>
          <t>handson-2.html</t>
        </is>
      </c>
      <c r="E59" s="4" t="inlineStr">
        <is>
          <t>変更履歴（VA03 の機能、または CDHDR／CDPOS）で変更の事実を示せた</t>
        </is>
      </c>
      <c r="F59" s="6" t="n">
        <v>5</v>
      </c>
      <c r="G59" s="6" t="inlineStr"/>
      <c r="H59" s="7" t="inlineStr"/>
      <c r="I59" s="4" t="inlineStr"/>
    </row>
    <row r="60" ht="18" customHeight="1">
      <c r="A60" s="8" t="n">
        <v>58</v>
      </c>
      <c r="B60" s="9" t="inlineStr">
        <is>
          <t>E 練習②（验收）</t>
        </is>
      </c>
      <c r="C60" s="9" t="inlineStr">
        <is>
          <t>つまずいた点を「症状 → 根因 → 証拠 → 処置 → 再発防止」で 1 件以上記録した</t>
        </is>
      </c>
      <c r="D60" s="8" t="inlineStr">
        <is>
          <t>handson-2.html</t>
        </is>
      </c>
      <c r="E60" s="9" t="inlineStr">
        <is>
          <t>つまずいた点を「症状 → 根因 → 証拠 → 処置 → 再発防止」で 1 件以上記録した</t>
        </is>
      </c>
      <c r="F60" s="8" t="n">
        <v>5</v>
      </c>
      <c r="G60" s="8" t="inlineStr"/>
      <c r="H60" s="7" t="inlineStr"/>
      <c r="I60" s="9" t="inlineStr"/>
    </row>
    <row r="61" ht="18" customHeight="1">
      <c r="A61" s="6" t="n">
        <v>59</v>
      </c>
      <c r="B61" s="4" t="inlineStr">
        <is>
          <t>F 練習③</t>
        </is>
      </c>
      <c r="C61" s="4" t="inlineStr">
        <is>
          <t>3-1 初期画面と照会の作法（動画 29:48・31:15 付近）</t>
        </is>
      </c>
      <c r="D61" s="6" t="inlineStr">
        <is>
          <t>handson-3.html</t>
        </is>
      </c>
      <c r="E61" s="4" t="inlineStr">
        <is>
          <t>手順どおり操作し、「期待結果」の記載とシステムの状態が一致することを確認した</t>
        </is>
      </c>
      <c r="F61" s="6" t="n">
        <v>20</v>
      </c>
      <c r="G61" s="6" t="inlineStr"/>
      <c r="H61" s="7" t="inlineStr"/>
      <c r="I61" s="4" t="inlineStr"/>
    </row>
    <row r="62" ht="18" customHeight="1">
      <c r="A62" s="8" t="n">
        <v>60</v>
      </c>
      <c r="B62" s="9" t="inlineStr">
        <is>
          <t>F 練習③</t>
        </is>
      </c>
      <c r="C62" s="9" t="inlineStr">
        <is>
          <t>3-2 情報ビュー（Info view）と情報ブロック（Info block）を読む（動画 31:50〜）</t>
        </is>
      </c>
      <c r="D62" s="8" t="inlineStr">
        <is>
          <t>handson-3.html</t>
        </is>
      </c>
      <c r="E62" s="9" t="inlineStr">
        <is>
          <t>手順どおり操作し、「期待結果」の記載とシステムの状態が一致することを確認した</t>
        </is>
      </c>
      <c r="F62" s="8" t="n">
        <v>20</v>
      </c>
      <c r="G62" s="8" t="inlineStr"/>
      <c r="H62" s="7" t="inlineStr"/>
      <c r="I62" s="9" t="inlineStr"/>
    </row>
    <row r="63" ht="18" customHeight="1">
      <c r="A63" s="6" t="n">
        <v>61</v>
      </c>
      <c r="B63" s="4" t="inlineStr">
        <is>
          <t>F 練習③</t>
        </is>
      </c>
      <c r="C63" s="4" t="inlineStr">
        <is>
          <t>3-3 与信情報と Open 値の読み方（動画 25:25 付近）</t>
        </is>
      </c>
      <c r="D63" s="6" t="inlineStr">
        <is>
          <t>handson-3.html</t>
        </is>
      </c>
      <c r="E63" s="4" t="inlineStr">
        <is>
          <t>手順どおり操作し、「期待結果」の記載とシステムの状態が一致することを確認した</t>
        </is>
      </c>
      <c r="F63" s="6" t="n">
        <v>20</v>
      </c>
      <c r="G63" s="6" t="inlineStr"/>
      <c r="H63" s="7" t="inlineStr"/>
      <c r="I63" s="4" t="inlineStr"/>
    </row>
    <row r="64" ht="18" customHeight="1">
      <c r="A64" s="8" t="n">
        <v>62</v>
      </c>
      <c r="B64" s="9" t="inlineStr">
        <is>
          <t>F 練習③</t>
        </is>
      </c>
      <c r="C64" s="9" t="inlineStr">
        <is>
          <t>3-4 Last SD documents と統計情報（動画 31:53・32:07 付近）</t>
        </is>
      </c>
      <c r="D64" s="8" t="inlineStr">
        <is>
          <t>handson-3.html</t>
        </is>
      </c>
      <c r="E64" s="9" t="inlineStr">
        <is>
          <t>手順どおり操作し、「期待結果」の記載とシステムの状態が一致することを確認した</t>
        </is>
      </c>
      <c r="F64" s="8" t="n">
        <v>20</v>
      </c>
      <c r="G64" s="8" t="inlineStr"/>
      <c r="H64" s="7" t="inlineStr"/>
      <c r="I64" s="9" t="inlineStr"/>
    </row>
    <row r="65" ht="18" customHeight="1">
      <c r="A65" s="6" t="n">
        <v>63</v>
      </c>
      <c r="B65" s="4" t="inlineStr">
        <is>
          <t>F 練習③</t>
        </is>
      </c>
      <c r="C65" s="4" t="inlineStr">
        <is>
          <t>3-5 出荷伝票へのドリルダウン（動画 25:24 の 80007832）</t>
        </is>
      </c>
      <c r="D65" s="6" t="inlineStr">
        <is>
          <t>handson-3.html</t>
        </is>
      </c>
      <c r="E65" s="4" t="inlineStr">
        <is>
          <t>手順どおり操作し、「期待結果」の記載とシステムの状態が一致することを確認した</t>
        </is>
      </c>
      <c r="F65" s="6" t="n">
        <v>20</v>
      </c>
      <c r="G65" s="6" t="inlineStr"/>
      <c r="H65" s="7" t="inlineStr"/>
      <c r="I65" s="4" t="inlineStr"/>
    </row>
    <row r="66" ht="18" customHeight="1">
      <c r="A66" s="8" t="n">
        <v>64</v>
      </c>
      <c r="B66" s="9" t="inlineStr">
        <is>
          <t>F 練習③</t>
        </is>
      </c>
      <c r="C66" s="9" t="inlineStr">
        <is>
          <t>3-6 出てこないときの切り分け（C5 の Customizing と結びつける）</t>
        </is>
      </c>
      <c r="D66" s="8" t="inlineStr">
        <is>
          <t>handson-3.html</t>
        </is>
      </c>
      <c r="E66" s="9" t="inlineStr">
        <is>
          <t>手順どおり操作し、「期待結果」の記載とシステムの状態が一致することを確認した</t>
        </is>
      </c>
      <c r="F66" s="8" t="n">
        <v>20</v>
      </c>
      <c r="G66" s="8" t="inlineStr"/>
      <c r="H66" s="7" t="inlineStr"/>
      <c r="I66" s="9" t="inlineStr"/>
    </row>
    <row r="67" ht="18" customHeight="1">
      <c r="A67" s="6" t="n">
        <v>65</v>
      </c>
      <c r="B67" s="4" t="inlineStr">
        <is>
          <t>F 練習③（验收）</t>
        </is>
      </c>
      <c r="C67" s="4" t="inlineStr">
        <is>
          <t>VC/2 を得意先 1000 で実行し、Sales Summary を表示できた</t>
        </is>
      </c>
      <c r="D67" s="6" t="inlineStr">
        <is>
          <t>handson-3.html</t>
        </is>
      </c>
      <c r="E67" s="4" t="inlineStr">
        <is>
          <t>VC/2 を得意先 1000 で実行し、Sales Summary を表示できた</t>
        </is>
      </c>
      <c r="F67" s="6" t="n">
        <v>5</v>
      </c>
      <c r="G67" s="6" t="inlineStr"/>
      <c r="H67" s="7" t="inlineStr"/>
      <c r="I67" s="4" t="inlineStr"/>
    </row>
    <row r="68" ht="18" customHeight="1">
      <c r="A68" s="8" t="n">
        <v>66</v>
      </c>
      <c r="B68" s="9" t="inlineStr">
        <is>
          <t>F 練習③（验收）</t>
        </is>
      </c>
      <c r="C68" s="9" t="inlineStr">
        <is>
          <t>受注の環境メニューからも Sales Summary を開けることを確認した</t>
        </is>
      </c>
      <c r="D68" s="8" t="inlineStr">
        <is>
          <t>handson-3.html</t>
        </is>
      </c>
      <c r="E68" s="9" t="inlineStr">
        <is>
          <t>受注の環境メニューからも Sales Summary を開けることを確認した</t>
        </is>
      </c>
      <c r="F68" s="8" t="n">
        <v>5</v>
      </c>
      <c r="G68" s="8" t="inlineStr"/>
      <c r="H68" s="7" t="inlineStr"/>
      <c r="I68" s="9" t="inlineStr"/>
    </row>
    <row r="69" ht="18" customHeight="1">
      <c r="A69" s="6" t="n">
        <v>67</v>
      </c>
      <c r="B69" s="4" t="inlineStr">
        <is>
          <t>F 練習③（验收）</t>
        </is>
      </c>
      <c r="C69" s="4" t="inlineStr">
        <is>
          <t>情報ビュー（001／101／103 など）を切り替え、情報ブロックの違いを説明できる</t>
        </is>
      </c>
      <c r="D69" s="6" t="inlineStr">
        <is>
          <t>handson-3.html</t>
        </is>
      </c>
      <c r="E69" s="4" t="inlineStr">
        <is>
          <t>情報ビュー（001／101／103 など）を切り替え、情報ブロックの違いを説明できる</t>
        </is>
      </c>
      <c r="F69" s="6" t="n">
        <v>5</v>
      </c>
      <c r="G69" s="6" t="inlineStr"/>
      <c r="H69" s="7" t="inlineStr"/>
      <c r="I69" s="4" t="inlineStr"/>
    </row>
    <row r="70" ht="18" customHeight="1">
      <c r="A70" s="8" t="n">
        <v>68</v>
      </c>
      <c r="B70" s="9" t="inlineStr">
        <is>
          <t>F 練習③（验收）</t>
        </is>
      </c>
      <c r="C70" s="9" t="inlineStr">
        <is>
          <t>ビュー 101（Last SD Documents）で自分の受注を確認した</t>
        </is>
      </c>
      <c r="D70" s="8" t="inlineStr">
        <is>
          <t>handson-3.html</t>
        </is>
      </c>
      <c r="E70" s="9" t="inlineStr">
        <is>
          <t>ビュー 101（Last SD Documents）で自分の受注を確認した</t>
        </is>
      </c>
      <c r="F70" s="8" t="n">
        <v>5</v>
      </c>
      <c r="G70" s="8" t="inlineStr"/>
      <c r="H70" s="7" t="inlineStr"/>
      <c r="I70" s="9" t="inlineStr"/>
    </row>
    <row r="71" ht="26" customHeight="1">
      <c r="A71" s="6" t="n">
        <v>69</v>
      </c>
      <c r="B71" s="4" t="inlineStr">
        <is>
          <t>F 練習③（验收）</t>
        </is>
      </c>
      <c r="C71" s="4" t="inlineStr">
        <is>
          <t>与信ブロック（Credit Limit／Usage Level／Delta／Consumption %）を読み、Delta マイナスの意味を説明できる</t>
        </is>
      </c>
      <c r="D71" s="6" t="inlineStr">
        <is>
          <t>handson-3.html</t>
        </is>
      </c>
      <c r="E71" s="4" t="inlineStr">
        <is>
          <t>与信ブロック（Credit Limit／Usage Level／Delta／Consumption %）を読み、Delta マイナスの意味を説明できる</t>
        </is>
      </c>
      <c r="F71" s="6" t="n">
        <v>5</v>
      </c>
      <c r="G71" s="6" t="inlineStr"/>
      <c r="H71" s="7" t="inlineStr"/>
      <c r="I71" s="4" t="inlineStr"/>
    </row>
    <row r="72" ht="18" customHeight="1">
      <c r="A72" s="8" t="n">
        <v>70</v>
      </c>
      <c r="B72" s="9" t="inlineStr">
        <is>
          <t>F 練習③（验收）</t>
        </is>
      </c>
      <c r="C72" s="9" t="inlineStr">
        <is>
          <t>FD32 と突き合わせて、与信値の出所を確認した</t>
        </is>
      </c>
      <c r="D72" s="8" t="inlineStr">
        <is>
          <t>handson-3.html</t>
        </is>
      </c>
      <c r="E72" s="9" t="inlineStr">
        <is>
          <t>FD32 と突き合わせて、与信値の出所を確認した</t>
        </is>
      </c>
      <c r="F72" s="8" t="n">
        <v>5</v>
      </c>
      <c r="G72" s="8" t="inlineStr"/>
      <c r="H72" s="7" t="inlineStr"/>
      <c r="I72" s="9" t="inlineStr"/>
    </row>
    <row r="73" ht="18" customHeight="1">
      <c r="A73" s="6" t="n">
        <v>71</v>
      </c>
      <c r="B73" s="4" t="inlineStr">
        <is>
          <t>F 練習③（验收）</t>
        </is>
      </c>
      <c r="C73" s="4" t="inlineStr">
        <is>
          <t>ビュー 003 の年度比較の指標を読んだ</t>
        </is>
      </c>
      <c r="D73" s="6" t="inlineStr">
        <is>
          <t>handson-3.html</t>
        </is>
      </c>
      <c r="E73" s="4" t="inlineStr">
        <is>
          <t>ビュー 003 の年度比較の指標を読んだ</t>
        </is>
      </c>
      <c r="F73" s="6" t="n">
        <v>5</v>
      </c>
      <c r="G73" s="6" t="inlineStr"/>
      <c r="H73" s="7" t="inlineStr"/>
      <c r="I73" s="4" t="inlineStr"/>
    </row>
    <row r="74" ht="18" customHeight="1">
      <c r="A74" s="8" t="n">
        <v>72</v>
      </c>
      <c r="B74" s="9" t="inlineStr">
        <is>
          <t>F 練習③（验收）</t>
        </is>
      </c>
      <c r="C74" s="9" t="inlineStr">
        <is>
          <t>VL03N で出荷伝票を照会し、Status Overview の意味を説明できる</t>
        </is>
      </c>
      <c r="D74" s="8" t="inlineStr">
        <is>
          <t>handson-3.html</t>
        </is>
      </c>
      <c r="E74" s="9" t="inlineStr">
        <is>
          <t>VL03N で出荷伝票を照会し、Status Overview の意味を説明できる</t>
        </is>
      </c>
      <c r="F74" s="8" t="n">
        <v>5</v>
      </c>
      <c r="G74" s="8" t="inlineStr"/>
      <c r="H74" s="7" t="inlineStr"/>
      <c r="I74" s="9" t="inlineStr"/>
    </row>
    <row r="75" ht="18" customHeight="1">
      <c r="A75" s="6" t="n">
        <v>73</v>
      </c>
      <c r="B75" s="4" t="inlineStr">
        <is>
          <t>F 練習③（验收）</t>
        </is>
      </c>
      <c r="C75" s="4" t="inlineStr">
        <is>
          <t>伝票フローで受注 → 出荷 → 請求を行き来できた（受注と出荷の双方向）</t>
        </is>
      </c>
      <c r="D75" s="6" t="inlineStr">
        <is>
          <t>handson-3.html</t>
        </is>
      </c>
      <c r="E75" s="4" t="inlineStr">
        <is>
          <t>伝票フローで受注 → 出荷 → 請求を行き来できた（受注と出荷の双方向）</t>
        </is>
      </c>
      <c r="F75" s="6" t="n">
        <v>5</v>
      </c>
      <c r="G75" s="6" t="inlineStr"/>
      <c r="H75" s="7" t="inlineStr"/>
      <c r="I75" s="4" t="inlineStr"/>
    </row>
    <row r="76" ht="26" customHeight="1">
      <c r="A76" s="8" t="n">
        <v>74</v>
      </c>
      <c r="B76" s="9" t="inlineStr">
        <is>
          <t>F 練習③（验收）</t>
        </is>
      </c>
      <c r="C76" s="9" t="inlineStr">
        <is>
          <t>症状から原因を引く表（情報ビューが出ない／Last SD documents が空 など）を使い、実際に 1 件切り分けた</t>
        </is>
      </c>
      <c r="D76" s="8" t="inlineStr">
        <is>
          <t>handson-3.html</t>
        </is>
      </c>
      <c r="E76" s="9" t="inlineStr">
        <is>
          <t>症状から原因を引く表（情報ビューが出ない／Last SD documents が空 など）を使い、実際に 1 件切り分けた</t>
        </is>
      </c>
      <c r="F76" s="8" t="n">
        <v>5</v>
      </c>
      <c r="G76" s="8" t="inlineStr"/>
      <c r="H76" s="7" t="inlineStr"/>
      <c r="I76" s="9" t="inlineStr"/>
    </row>
    <row r="77" ht="18" customHeight="1">
      <c r="A77" s="6" t="n">
        <v>75</v>
      </c>
      <c r="B77" s="4" t="inlineStr">
        <is>
          <t>F 練習③（验收）</t>
        </is>
      </c>
      <c r="C77" s="4" t="inlineStr">
        <is>
          <t>つまずいた点を「症状 → 根因 → 証拠 → 処置 → 再発防止」で 1 件以上記録した</t>
        </is>
      </c>
      <c r="D77" s="6" t="inlineStr">
        <is>
          <t>handson-3.html</t>
        </is>
      </c>
      <c r="E77" s="4" t="inlineStr">
        <is>
          <t>つまずいた点を「症状 → 根因 → 証拠 → 処置 → 再発防止」で 1 件以上記録した</t>
        </is>
      </c>
      <c r="F77" s="6" t="n">
        <v>5</v>
      </c>
      <c r="G77" s="6" t="inlineStr"/>
      <c r="H77" s="7" t="inlineStr"/>
      <c r="I77" s="4" t="inlineStr"/>
    </row>
    <row r="78" ht="18" customHeight="1">
      <c r="A78" s="8" t="n">
        <v>76</v>
      </c>
      <c r="B78" s="9" t="inlineStr">
        <is>
          <t>G 練習④</t>
        </is>
      </c>
      <c r="C78" s="9" t="inlineStr">
        <is>
          <t>4-1 出荷できる受注を準備する（前提の確認）</t>
        </is>
      </c>
      <c r="D78" s="8" t="inlineStr">
        <is>
          <t>handson-4.html</t>
        </is>
      </c>
      <c r="E78" s="9" t="inlineStr">
        <is>
          <t>手順どおり操作し、「期待結果」の記載とシステムの状態が一致することを確認した</t>
        </is>
      </c>
      <c r="F78" s="8" t="n">
        <v>20</v>
      </c>
      <c r="G78" s="8" t="inlineStr"/>
      <c r="H78" s="7" t="inlineStr"/>
      <c r="I78" s="9" t="inlineStr"/>
    </row>
    <row r="79" ht="18" customHeight="1">
      <c r="A79" s="6" t="n">
        <v>77</v>
      </c>
      <c r="B79" s="4" t="inlineStr">
        <is>
          <t>G 練習④</t>
        </is>
      </c>
      <c r="C79" s="4" t="inlineStr">
        <is>
          <t>4-2 出荷伝票の作成（VL01N）</t>
        </is>
      </c>
      <c r="D79" s="6" t="inlineStr">
        <is>
          <t>handson-4.html</t>
        </is>
      </c>
      <c r="E79" s="4" t="inlineStr">
        <is>
          <t>手順どおり操作し、「期待結果」の記載とシステムの状態が一致することを確認した</t>
        </is>
      </c>
      <c r="F79" s="6" t="n">
        <v>20</v>
      </c>
      <c r="G79" s="6" t="inlineStr"/>
      <c r="H79" s="7" t="inlineStr"/>
      <c r="I79" s="4" t="inlineStr"/>
    </row>
    <row r="80" ht="18" customHeight="1">
      <c r="A80" s="8" t="n">
        <v>78</v>
      </c>
      <c r="B80" s="9" t="inlineStr">
        <is>
          <t>G 練習④</t>
        </is>
      </c>
      <c r="C80" s="9" t="inlineStr">
        <is>
          <t>4-3 ピッキングと出庫過帳（VL02N・PGI）</t>
        </is>
      </c>
      <c r="D80" s="8" t="inlineStr">
        <is>
          <t>handson-4.html</t>
        </is>
      </c>
      <c r="E80" s="9" t="inlineStr">
        <is>
          <t>手順どおり操作し、「期待結果」の記載とシステムの状態が一致することを確認した</t>
        </is>
      </c>
      <c r="F80" s="8" t="n">
        <v>20</v>
      </c>
      <c r="G80" s="8" t="inlineStr"/>
      <c r="H80" s="7" t="inlineStr"/>
      <c r="I80" s="9" t="inlineStr"/>
    </row>
    <row r="81" ht="18" customHeight="1">
      <c r="A81" s="6" t="n">
        <v>79</v>
      </c>
      <c r="B81" s="4" t="inlineStr">
        <is>
          <t>G 練習④</t>
        </is>
      </c>
      <c r="C81" s="4" t="inlineStr">
        <is>
          <t>4-4 出荷伝票の照会（VL03N・動画と同じ見方）</t>
        </is>
      </c>
      <c r="D81" s="6" t="inlineStr">
        <is>
          <t>handson-4.html</t>
        </is>
      </c>
      <c r="E81" s="4" t="inlineStr">
        <is>
          <t>手順どおり操作し、「期待結果」の記載とシステムの状態が一致することを確認した</t>
        </is>
      </c>
      <c r="F81" s="6" t="n">
        <v>20</v>
      </c>
      <c r="G81" s="6" t="inlineStr"/>
      <c r="H81" s="7" t="inlineStr"/>
      <c r="I81" s="4" t="inlineStr"/>
    </row>
    <row r="82" ht="18" customHeight="1">
      <c r="A82" s="8" t="n">
        <v>80</v>
      </c>
      <c r="B82" s="9" t="inlineStr">
        <is>
          <t>G 練習④</t>
        </is>
      </c>
      <c r="C82" s="9" t="inlineStr">
        <is>
          <t>4-5 請求（VF01）</t>
        </is>
      </c>
      <c r="D82" s="8" t="inlineStr">
        <is>
          <t>handson-4.html</t>
        </is>
      </c>
      <c r="E82" s="9" t="inlineStr">
        <is>
          <t>手順どおり操作し、「期待結果」の記載とシステムの状態が一致することを確認した</t>
        </is>
      </c>
      <c r="F82" s="8" t="n">
        <v>20</v>
      </c>
      <c r="G82" s="8" t="inlineStr"/>
      <c r="H82" s="7" t="inlineStr"/>
      <c r="I82" s="9" t="inlineStr"/>
    </row>
    <row r="83" ht="18" customHeight="1">
      <c r="A83" s="6" t="n">
        <v>81</v>
      </c>
      <c r="B83" s="4" t="inlineStr">
        <is>
          <t>G 練習④</t>
        </is>
      </c>
      <c r="C83" s="4" t="inlineStr">
        <is>
          <t>4-6 伝票フローと Sales Summary で確認する（動画の見方に戻る）</t>
        </is>
      </c>
      <c r="D83" s="6" t="inlineStr">
        <is>
          <t>handson-4.html</t>
        </is>
      </c>
      <c r="E83" s="4" t="inlineStr">
        <is>
          <t>手順どおり操作し、「期待結果」の記載とシステムの状態が一致することを確認した</t>
        </is>
      </c>
      <c r="F83" s="6" t="n">
        <v>20</v>
      </c>
      <c r="G83" s="6" t="inlineStr"/>
      <c r="H83" s="7" t="inlineStr"/>
      <c r="I83" s="4" t="inlineStr"/>
    </row>
    <row r="84" ht="26" customHeight="1">
      <c r="A84" s="8" t="n">
        <v>82</v>
      </c>
      <c r="B84" s="9" t="inlineStr">
        <is>
          <t>G 練習④（验收）</t>
        </is>
      </c>
      <c r="C84" s="9" t="inlineStr">
        <is>
          <t>出荷できる受注の条件（ブロックなし・納入日程行あり・在庫あり・不完全でない）を 4 つ言える</t>
        </is>
      </c>
      <c r="D84" s="8" t="inlineStr">
        <is>
          <t>handson-4.html</t>
        </is>
      </c>
      <c r="E84" s="9" t="inlineStr">
        <is>
          <t>出荷できる受注の条件（ブロックなし・納入日程行あり・在庫あり・不完全でない）を 4 つ言える</t>
        </is>
      </c>
      <c r="F84" s="8" t="n">
        <v>5</v>
      </c>
      <c r="G84" s="8" t="inlineStr"/>
      <c r="H84" s="7" t="inlineStr"/>
      <c r="I84" s="9" t="inlineStr"/>
    </row>
    <row r="85" ht="18" customHeight="1">
      <c r="A85" s="6" t="n">
        <v>83</v>
      </c>
      <c r="B85" s="4" t="inlineStr">
        <is>
          <t>G 練習④（验收）</t>
        </is>
      </c>
      <c r="C85" s="4" t="inlineStr">
        <is>
          <t>VL01N で出荷伝票を作成し、出荷数量＝受注数量になった</t>
        </is>
      </c>
      <c r="D85" s="6" t="inlineStr">
        <is>
          <t>handson-4.html</t>
        </is>
      </c>
      <c r="E85" s="4" t="inlineStr">
        <is>
          <t>VL01N で出荷伝票を作成し、出荷数量＝受注数量になった</t>
        </is>
      </c>
      <c r="F85" s="6" t="n">
        <v>5</v>
      </c>
      <c r="G85" s="6" t="inlineStr"/>
      <c r="H85" s="7" t="inlineStr"/>
      <c r="I85" s="4" t="inlineStr"/>
    </row>
    <row r="86" ht="18" customHeight="1">
      <c r="A86" s="8" t="n">
        <v>84</v>
      </c>
      <c r="B86" s="9" t="inlineStr">
        <is>
          <t>G 練習④（验收）</t>
        </is>
      </c>
      <c r="C86" s="9" t="inlineStr">
        <is>
          <t>出荷ポイントが何から決まったか説明できる</t>
        </is>
      </c>
      <c r="D86" s="8" t="inlineStr">
        <is>
          <t>handson-4.html</t>
        </is>
      </c>
      <c r="E86" s="9" t="inlineStr">
        <is>
          <t>出荷ポイントが何から決まったか説明できる</t>
        </is>
      </c>
      <c r="F86" s="8" t="n">
        <v>5</v>
      </c>
      <c r="G86" s="8" t="inlineStr"/>
      <c r="H86" s="7" t="inlineStr"/>
      <c r="I86" s="9" t="inlineStr"/>
    </row>
    <row r="87" ht="18" customHeight="1">
      <c r="A87" s="6" t="n">
        <v>85</v>
      </c>
      <c r="B87" s="4" t="inlineStr">
        <is>
          <t>G 練習④（验收）</t>
        </is>
      </c>
      <c r="C87" s="4" t="inlineStr">
        <is>
          <t>VL02N でピッキング数量を入れ、PGI を実行した</t>
        </is>
      </c>
      <c r="D87" s="6" t="inlineStr">
        <is>
          <t>handson-4.html</t>
        </is>
      </c>
      <c r="E87" s="4" t="inlineStr">
        <is>
          <t>VL02N でピッキング数量を入れ、PGI を実行した</t>
        </is>
      </c>
      <c r="F87" s="6" t="n">
        <v>5</v>
      </c>
      <c r="G87" s="6" t="inlineStr"/>
      <c r="H87" s="7" t="inlineStr"/>
      <c r="I87" s="4" t="inlineStr"/>
    </row>
    <row r="88" ht="18" customHeight="1">
      <c r="A88" s="8" t="n">
        <v>86</v>
      </c>
      <c r="B88" s="9" t="inlineStr">
        <is>
          <t>G 練習④（验收）</t>
        </is>
      </c>
      <c r="C88" s="9" t="inlineStr">
        <is>
          <t>PGI の前後で在庫が減ったことを MB51（移動タイプ 601）で確認した</t>
        </is>
      </c>
      <c r="D88" s="8" t="inlineStr">
        <is>
          <t>handson-4.html</t>
        </is>
      </c>
      <c r="E88" s="9" t="inlineStr">
        <is>
          <t>PGI の前後で在庫が減ったことを MB51（移動タイプ 601）で確認した</t>
        </is>
      </c>
      <c r="F88" s="8" t="n">
        <v>5</v>
      </c>
      <c r="G88" s="8" t="inlineStr"/>
      <c r="H88" s="7" t="inlineStr"/>
      <c r="I88" s="9" t="inlineStr"/>
    </row>
    <row r="89" ht="18" customHeight="1">
      <c r="A89" s="6" t="n">
        <v>87</v>
      </c>
      <c r="B89" s="4" t="inlineStr">
        <is>
          <t>G 練習④（验收）</t>
        </is>
      </c>
      <c r="C89" s="4" t="inlineStr">
        <is>
          <t>VL03N の Status Overview と計画/実績日を読めた（動画と同じ見方）</t>
        </is>
      </c>
      <c r="D89" s="6" t="inlineStr">
        <is>
          <t>handson-4.html</t>
        </is>
      </c>
      <c r="E89" s="4" t="inlineStr">
        <is>
          <t>VL03N の Status Overview と計画/実績日を読めた（動画と同じ見方）</t>
        </is>
      </c>
      <c r="F89" s="6" t="n">
        <v>5</v>
      </c>
      <c r="G89" s="6" t="inlineStr"/>
      <c r="H89" s="7" t="inlineStr"/>
      <c r="I89" s="4" t="inlineStr"/>
    </row>
    <row r="90" ht="18" customHeight="1">
      <c r="A90" s="8" t="n">
        <v>88</v>
      </c>
      <c r="B90" s="9" t="inlineStr">
        <is>
          <t>G 練習④（验收）</t>
        </is>
      </c>
      <c r="C90" s="9" t="inlineStr">
        <is>
          <t>VF01 で請求書を作成し、金額が受注と一致することを確認した</t>
        </is>
      </c>
      <c r="D90" s="8" t="inlineStr">
        <is>
          <t>handson-4.html</t>
        </is>
      </c>
      <c r="E90" s="9" t="inlineStr">
        <is>
          <t>VF01 で請求書を作成し、金額が受注と一致することを確認した</t>
        </is>
      </c>
      <c r="F90" s="8" t="n">
        <v>5</v>
      </c>
      <c r="G90" s="8" t="inlineStr"/>
      <c r="H90" s="7" t="inlineStr"/>
      <c r="I90" s="9" t="inlineStr"/>
    </row>
    <row r="91" ht="18" customHeight="1">
      <c r="A91" s="6" t="n">
        <v>89</v>
      </c>
      <c r="B91" s="4" t="inlineStr">
        <is>
          <t>G 練習④（验收）</t>
        </is>
      </c>
      <c r="C91" s="4" t="inlineStr">
        <is>
          <t>伝票フローに受注・出荷・請求の 3 種が並び、数量・金額が整合している</t>
        </is>
      </c>
      <c r="D91" s="6" t="inlineStr">
        <is>
          <t>handson-4.html</t>
        </is>
      </c>
      <c r="E91" s="4" t="inlineStr">
        <is>
          <t>伝票フローに受注・出荷・請求の 3 種が並び、数量・金額が整合している</t>
        </is>
      </c>
      <c r="F91" s="6" t="n">
        <v>5</v>
      </c>
      <c r="G91" s="6" t="inlineStr"/>
      <c r="H91" s="7" t="inlineStr"/>
      <c r="I91" s="4" t="inlineStr"/>
    </row>
    <row r="92" ht="26" customHeight="1">
      <c r="A92" s="8" t="n">
        <v>90</v>
      </c>
      <c r="B92" s="9" t="inlineStr">
        <is>
          <t>G 練習④（验收）</t>
        </is>
      </c>
      <c r="C92" s="9" t="inlineStr">
        <is>
          <t>VC/2 で Open Sales Order Val／Open Delivery Value／Open Bill. Doc. Val の変化を確認した</t>
        </is>
      </c>
      <c r="D92" s="8" t="inlineStr">
        <is>
          <t>handson-4.html</t>
        </is>
      </c>
      <c r="E92" s="9" t="inlineStr">
        <is>
          <t>VC/2 で Open Sales Order Val／Open Delivery Value／Open Bill. Doc. Val の変化を確認した</t>
        </is>
      </c>
      <c r="F92" s="8" t="n">
        <v>5</v>
      </c>
      <c r="G92" s="8" t="inlineStr"/>
      <c r="H92" s="7" t="inlineStr"/>
      <c r="I92" s="9" t="inlineStr"/>
    </row>
    <row r="93" ht="18" customHeight="1">
      <c r="A93" s="6" t="n">
        <v>91</v>
      </c>
      <c r="B93" s="4" t="inlineStr">
        <is>
          <t>G 練習④（验收）</t>
        </is>
      </c>
      <c r="C93" s="4" t="inlineStr">
        <is>
          <t>動画の範囲（照会まで）と本站の補足（作成側）の境界を説明できる</t>
        </is>
      </c>
      <c r="D93" s="6" t="inlineStr">
        <is>
          <t>handson-4.html</t>
        </is>
      </c>
      <c r="E93" s="4" t="inlineStr">
        <is>
          <t>動画の範囲（照会まで）と本站の補足（作成側）の境界を説明できる</t>
        </is>
      </c>
      <c r="F93" s="6" t="n">
        <v>5</v>
      </c>
      <c r="G93" s="6" t="inlineStr"/>
      <c r="H93" s="7" t="inlineStr"/>
      <c r="I93" s="4" t="inlineStr"/>
    </row>
    <row r="94" ht="18" customHeight="1">
      <c r="A94" s="8" t="n">
        <v>92</v>
      </c>
      <c r="B94" s="9" t="inlineStr">
        <is>
          <t>G 練習④（验收）</t>
        </is>
      </c>
      <c r="C94" s="9" t="inlineStr">
        <is>
          <t>つまずいた点を「症状 → 根因 → 証拠 → 処置 → 再発防止」で 1 件以上記録した</t>
        </is>
      </c>
      <c r="D94" s="8" t="inlineStr">
        <is>
          <t>handson-4.html</t>
        </is>
      </c>
      <c r="E94" s="9" t="inlineStr">
        <is>
          <t>つまずいた点を「症状 → 根因 → 証拠 → 処置 → 再発防止」で 1 件以上記録した</t>
        </is>
      </c>
      <c r="F94" s="8" t="n">
        <v>5</v>
      </c>
      <c r="G94" s="8" t="inlineStr"/>
      <c r="H94" s="7" t="inlineStr"/>
      <c r="I94" s="9" t="inlineStr"/>
    </row>
    <row r="95" ht="18" customHeight="1">
      <c r="A95" s="6" t="n">
        <v>93</v>
      </c>
      <c r="B95" s="4" t="inlineStr">
        <is>
          <t>H 練習⑤（発展・故障）</t>
        </is>
      </c>
      <c r="C95" s="4" t="inlineStr">
        <is>
          <t>5-1 ツールとヘルプ（動画 55:13 付近）</t>
        </is>
      </c>
      <c r="D95" s="6" t="inlineStr">
        <is>
          <t>handson-5.html</t>
        </is>
      </c>
      <c r="E95" s="4" t="inlineStr">
        <is>
          <t>手順どおり操作し、「期待結果」の記載とシステムの状態が一致することを確認した</t>
        </is>
      </c>
      <c r="F95" s="6" t="n">
        <v>20</v>
      </c>
      <c r="G95" s="6" t="inlineStr"/>
      <c r="H95" s="7" t="inlineStr"/>
      <c r="I95" s="4" t="inlineStr"/>
    </row>
    <row r="96" ht="18" customHeight="1">
      <c r="A96" s="8" t="n">
        <v>94</v>
      </c>
      <c r="B96" s="9" t="inlineStr">
        <is>
          <t>H 練習⑤（発展・故障）</t>
        </is>
      </c>
      <c r="C96" s="9" t="inlineStr">
        <is>
          <t>5-2 発展①：伝票タイプにブロックを仕込んで挙動を比べる</t>
        </is>
      </c>
      <c r="D96" s="8" t="inlineStr">
        <is>
          <t>handson-5.html</t>
        </is>
      </c>
      <c r="E96" s="9" t="inlineStr">
        <is>
          <t>手順どおり操作し、「期待結果」の記載とシステムの状態が一致することを確認した</t>
        </is>
      </c>
      <c r="F96" s="8" t="n">
        <v>20</v>
      </c>
      <c r="G96" s="8" t="inlineStr"/>
      <c r="H96" s="7" t="inlineStr"/>
      <c r="I96" s="9" t="inlineStr"/>
    </row>
    <row r="97" ht="18" customHeight="1">
      <c r="A97" s="6" t="n">
        <v>95</v>
      </c>
      <c r="B97" s="4" t="inlineStr">
        <is>
          <t>H 練習⑤（発展・故障）</t>
        </is>
      </c>
      <c r="C97" s="4" t="inlineStr">
        <is>
          <t>5-3 発展②：出荷プラントの優先順位を実測する</t>
        </is>
      </c>
      <c r="D97" s="6" t="inlineStr">
        <is>
          <t>handson-5.html</t>
        </is>
      </c>
      <c r="E97" s="4" t="inlineStr">
        <is>
          <t>手順どおり操作し、「期待結果」の記載とシステムの状態が一致することを確認した</t>
        </is>
      </c>
      <c r="F97" s="6" t="n">
        <v>20</v>
      </c>
      <c r="G97" s="6" t="inlineStr"/>
      <c r="H97" s="7" t="inlineStr"/>
      <c r="I97" s="4" t="inlineStr"/>
    </row>
    <row r="98" ht="18" customHeight="1">
      <c r="A98" s="8" t="n">
        <v>96</v>
      </c>
      <c r="B98" s="9" t="inlineStr">
        <is>
          <t>H 練習⑤（発展・故障）</t>
        </is>
      </c>
      <c r="C98" s="9" t="inlineStr">
        <is>
          <t>5-4 発展③：Sales Summary のビューを自作して適用する</t>
        </is>
      </c>
      <c r="D98" s="8" t="inlineStr">
        <is>
          <t>handson-5.html</t>
        </is>
      </c>
      <c r="E98" s="9" t="inlineStr">
        <is>
          <t>手順どおり操作し、「期待結果」の記載とシステムの状態が一致することを確認した</t>
        </is>
      </c>
      <c r="F98" s="8" t="n">
        <v>20</v>
      </c>
      <c r="G98" s="8" t="inlineStr"/>
      <c r="H98" s="7" t="inlineStr"/>
      <c r="I98" s="9" t="inlineStr"/>
    </row>
    <row r="99" ht="18" customHeight="1">
      <c r="A99" s="6" t="n">
        <v>97</v>
      </c>
      <c r="B99" s="4" t="inlineStr">
        <is>
          <t>H 練習⑤（発展・故障）</t>
        </is>
      </c>
      <c r="C99" s="4" t="inlineStr">
        <is>
          <t>5-5 発展④：不完全性の必須項目を追加し V.02 で管理する</t>
        </is>
      </c>
      <c r="D99" s="6" t="inlineStr">
        <is>
          <t>handson-5.html</t>
        </is>
      </c>
      <c r="E99" s="4" t="inlineStr">
        <is>
          <t>手順どおり操作し、「期待結果」の記載とシステムの状態が一致することを確認した</t>
        </is>
      </c>
      <c r="F99" s="6" t="n">
        <v>20</v>
      </c>
      <c r="G99" s="6" t="inlineStr"/>
      <c r="H99" s="7" t="inlineStr"/>
      <c r="I99" s="4" t="inlineStr"/>
    </row>
    <row r="100" ht="18" customHeight="1">
      <c r="A100" s="8" t="n">
        <v>98</v>
      </c>
      <c r="B100" s="9" t="inlineStr">
        <is>
          <t>H 練習⑤（発展・故障）</t>
        </is>
      </c>
      <c r="C100" s="9" t="inlineStr">
        <is>
          <t>5-6 故障対応の 4 画面（切り分けの手順）</t>
        </is>
      </c>
      <c r="D100" s="8" t="inlineStr">
        <is>
          <t>handson-5.html</t>
        </is>
      </c>
      <c r="E100" s="9" t="inlineStr">
        <is>
          <t>手順どおり操作し、「期待結果」の記載とシステムの状態が一致することを確認した</t>
        </is>
      </c>
      <c r="F100" s="8" t="n">
        <v>20</v>
      </c>
      <c r="G100" s="8" t="inlineStr"/>
      <c r="H100" s="7" t="inlineStr"/>
      <c r="I100" s="9" t="inlineStr"/>
    </row>
    <row r="101" ht="26" customHeight="1">
      <c r="A101" s="6" t="n">
        <v>99</v>
      </c>
      <c r="B101" s="4" t="inlineStr">
        <is>
          <t>H 練習⑤（発展・故障）（验收）</t>
        </is>
      </c>
      <c r="C101" s="4" t="inlineStr">
        <is>
          <t>SU3 の 4 タブ（Address／Defaults／Parameters／Favorites）を説明できる</t>
        </is>
      </c>
      <c r="D101" s="6" t="inlineStr">
        <is>
          <t>handson-5.html</t>
        </is>
      </c>
      <c r="E101" s="4" t="inlineStr">
        <is>
          <t>SU3 の 4 タブ（Address／Defaults／Parameters／Favorites）を説明できる</t>
        </is>
      </c>
      <c r="F101" s="6" t="n">
        <v>5</v>
      </c>
      <c r="G101" s="6" t="inlineStr"/>
      <c r="H101" s="7" t="inlineStr"/>
      <c r="I101" s="4" t="inlineStr"/>
    </row>
    <row r="102" ht="18" customHeight="1">
      <c r="A102" s="8" t="n">
        <v>100</v>
      </c>
      <c r="B102" s="9" t="inlineStr">
        <is>
          <t>H 練習⑤（発展・故障）（验收）</t>
        </is>
      </c>
      <c r="C102" s="9" t="inlineStr">
        <is>
          <t>お気に入りに主要 T-code を登録し、F1 でテーブル名・項目名を調べられた</t>
        </is>
      </c>
      <c r="D102" s="8" t="inlineStr">
        <is>
          <t>handson-5.html</t>
        </is>
      </c>
      <c r="E102" s="9" t="inlineStr">
        <is>
          <t>お気に入りに主要 T-code を登録し、F1 でテーブル名・項目名を調べられた</t>
        </is>
      </c>
      <c r="F102" s="8" t="n">
        <v>5</v>
      </c>
      <c r="G102" s="8" t="inlineStr"/>
      <c r="H102" s="7" t="inlineStr"/>
      <c r="I102" s="9" t="inlineStr"/>
    </row>
    <row r="103" ht="18" customHeight="1">
      <c r="A103" s="6" t="n">
        <v>101</v>
      </c>
      <c r="B103" s="4" t="inlineStr">
        <is>
          <t>H 練習⑤（発展・故障）（验收）</t>
        </is>
      </c>
      <c r="C103" s="4" t="inlineStr">
        <is>
          <t>与力分析（VA03 条件画面）を読んで、条件の決定過程を説明できる</t>
        </is>
      </c>
      <c r="D103" s="6" t="inlineStr">
        <is>
          <t>handson-5.html</t>
        </is>
      </c>
      <c r="E103" s="4" t="inlineStr">
        <is>
          <t>与力分析（VA03 条件画面）を読んで、条件の決定過程を説明できる</t>
        </is>
      </c>
      <c r="F103" s="6" t="n">
        <v>5</v>
      </c>
      <c r="G103" s="6" t="inlineStr"/>
      <c r="H103" s="7" t="inlineStr"/>
      <c r="I103" s="4" t="inlineStr"/>
    </row>
    <row r="104" ht="18" customHeight="1">
      <c r="A104" s="8" t="n">
        <v>102</v>
      </c>
      <c r="B104" s="9" t="inlineStr">
        <is>
          <t>H 練習⑤（発展・故障）（验收）</t>
        </is>
      </c>
      <c r="C104" s="9" t="inlineStr">
        <is>
          <t>発展①：伝票タイプにブロックを仕込み、新規受注に自動で付くことを確認した</t>
        </is>
      </c>
      <c r="D104" s="8" t="inlineStr">
        <is>
          <t>handson-5.html</t>
        </is>
      </c>
      <c r="E104" s="9" t="inlineStr">
        <is>
          <t>発展①：伝票タイプにブロックを仕込み、新規受注に自動で付くことを確認した</t>
        </is>
      </c>
      <c r="F104" s="8" t="n">
        <v>5</v>
      </c>
      <c r="G104" s="8" t="inlineStr"/>
      <c r="H104" s="7" t="inlineStr"/>
      <c r="I104" s="9" t="inlineStr"/>
    </row>
    <row r="105" ht="18" customHeight="1">
      <c r="A105" s="6" t="n">
        <v>103</v>
      </c>
      <c r="B105" s="4" t="inlineStr">
        <is>
          <t>H 練習⑤（発展・故障）（验收）</t>
        </is>
      </c>
      <c r="C105" s="4" t="inlineStr">
        <is>
          <t>発展②：出荷プラントの3 段階の優先順位を実測で示した</t>
        </is>
      </c>
      <c r="D105" s="6" t="inlineStr">
        <is>
          <t>handson-5.html</t>
        </is>
      </c>
      <c r="E105" s="4" t="inlineStr">
        <is>
          <t>発展②：出荷プラントの3 段階の優先順位を実測で示した</t>
        </is>
      </c>
      <c r="F105" s="6" t="n">
        <v>5</v>
      </c>
      <c r="G105" s="6" t="inlineStr"/>
      <c r="H105" s="7" t="inlineStr"/>
      <c r="I105" s="4" t="inlineStr"/>
    </row>
    <row r="106" ht="18" customHeight="1">
      <c r="A106" s="8" t="n">
        <v>104</v>
      </c>
      <c r="B106" s="9" t="inlineStr">
        <is>
          <t>H 練習⑤（発展・故障）（验收）</t>
        </is>
      </c>
      <c r="C106" s="9" t="inlineStr">
        <is>
          <t>発展③：Sales Summary のビューを自作し、自分のユーザに適用した</t>
        </is>
      </c>
      <c r="D106" s="8" t="inlineStr">
        <is>
          <t>handson-5.html</t>
        </is>
      </c>
      <c r="E106" s="9" t="inlineStr">
        <is>
          <t>発展③：Sales Summary のビューを自作し、自分のユーザに適用した</t>
        </is>
      </c>
      <c r="F106" s="8" t="n">
        <v>5</v>
      </c>
      <c r="G106" s="8" t="inlineStr"/>
      <c r="H106" s="7" t="inlineStr"/>
      <c r="I106" s="9" t="inlineStr"/>
    </row>
    <row r="107" ht="18" customHeight="1">
      <c r="A107" s="6" t="n">
        <v>105</v>
      </c>
      <c r="B107" s="4" t="inlineStr">
        <is>
          <t>H 練習⑤（発展・故障）（验收）</t>
        </is>
      </c>
      <c r="C107" s="4" t="inlineStr">
        <is>
          <t>発展④：不完全性の項目を追加し、V.02 で管理する流れを体験した</t>
        </is>
      </c>
      <c r="D107" s="6" t="inlineStr">
        <is>
          <t>handson-5.html</t>
        </is>
      </c>
      <c r="E107" s="4" t="inlineStr">
        <is>
          <t>発展④：不完全性の項目を追加し、V.02 で管理する流れを体験した</t>
        </is>
      </c>
      <c r="F107" s="6" t="n">
        <v>5</v>
      </c>
      <c r="G107" s="6" t="inlineStr"/>
      <c r="H107" s="7" t="inlineStr"/>
      <c r="I107" s="4" t="inlineStr"/>
    </row>
    <row r="108" ht="18" customHeight="1">
      <c r="A108" s="8" t="n">
        <v>106</v>
      </c>
      <c r="B108" s="9" t="inlineStr">
        <is>
          <t>H 練習⑤（発展・故障）（验收）</t>
        </is>
      </c>
      <c r="C108" s="9" t="inlineStr">
        <is>
          <t>故障切り分けの 4 画面（受注 → 主データ → 設定 → 拡張）の順序を説明できる</t>
        </is>
      </c>
      <c r="D108" s="8" t="inlineStr">
        <is>
          <t>handson-5.html</t>
        </is>
      </c>
      <c r="E108" s="9" t="inlineStr">
        <is>
          <t>故障切り分けの 4 画面（受注 → 主データ → 設定 → 拡張）の順序を説明できる</t>
        </is>
      </c>
      <c r="F108" s="8" t="n">
        <v>5</v>
      </c>
      <c r="G108" s="8" t="inlineStr"/>
      <c r="H108" s="7" t="inlineStr"/>
      <c r="I108" s="9" t="inlineStr"/>
    </row>
    <row r="109" ht="18" customHeight="1">
      <c r="A109" s="6" t="n">
        <v>107</v>
      </c>
      <c r="B109" s="4" t="inlineStr">
        <is>
          <t>H 練習⑤（発展・故障）（验收）</t>
        </is>
      </c>
      <c r="C109" s="4" t="inlineStr">
        <is>
          <t>故障対照表から2 件以上を実際に再現し、根因・証拠・処置を記録した</t>
        </is>
      </c>
      <c r="D109" s="6" t="inlineStr">
        <is>
          <t>handson-5.html</t>
        </is>
      </c>
      <c r="E109" s="4" t="inlineStr">
        <is>
          <t>故障対照表から2 件以上を実際に再現し、根因・証拠・処置を記録した</t>
        </is>
      </c>
      <c r="F109" s="6" t="n">
        <v>5</v>
      </c>
      <c r="G109" s="6" t="inlineStr"/>
      <c r="H109" s="7" t="inlineStr"/>
      <c r="I109" s="4" t="inlineStr"/>
    </row>
    <row r="110" ht="18" customHeight="1">
      <c r="A110" s="8" t="n">
        <v>108</v>
      </c>
      <c r="B110" s="9" t="inlineStr">
        <is>
          <t>H 練習⑤（発展・故障）（验收）</t>
        </is>
      </c>
      <c r="C110" s="9" t="inlineStr">
        <is>
          <t>つまずいた点を「症状 → 根因 → 証拠 → 処置 → 再発防止」で 3 件以上記録した</t>
        </is>
      </c>
      <c r="D110" s="8" t="inlineStr">
        <is>
          <t>handson-5.html</t>
        </is>
      </c>
      <c r="E110" s="9" t="inlineStr">
        <is>
          <t>つまずいた点を「症状 → 根因 → 証拠 → 処置 → 再発防止」で 3 件以上記録した</t>
        </is>
      </c>
      <c r="F110" s="8" t="n">
        <v>5</v>
      </c>
      <c r="G110" s="8" t="inlineStr"/>
      <c r="H110" s="7" t="inlineStr"/>
      <c r="I110" s="9" t="inlineStr"/>
    </row>
    <row r="111" ht="18" customHeight="1">
      <c r="A111" s="6" t="n">
        <v>109</v>
      </c>
      <c r="B111" s="4" t="inlineStr">
        <is>
          <t>I 受講者版</t>
        </is>
      </c>
      <c r="C111" s="4" t="inlineStr">
        <is>
          <t>ワークシート（worksheet.html）を埋める</t>
        </is>
      </c>
      <c r="D111" s="6" t="inlineStr">
        <is>
          <t>worksheet.html</t>
        </is>
      </c>
      <c r="E111" s="4" t="inlineStr">
        <is>
          <t>各シートを記入し、伝票番号・数値・故障記録が揃った</t>
        </is>
      </c>
      <c r="F111" s="6" t="n">
        <v>60</v>
      </c>
      <c r="G111" s="6" t="inlineStr"/>
      <c r="H111" s="7" t="inlineStr"/>
      <c r="I111" s="4" t="inlineStr"/>
    </row>
    <row r="112" ht="18" customHeight="1">
      <c r="A112" s="8" t="n">
        <v>110</v>
      </c>
      <c r="B112" s="9" t="inlineStr">
        <is>
          <t>J テスト</t>
        </is>
      </c>
      <c r="C112" s="9" t="inlineStr">
        <is>
          <t>能力测试（quiz.html）を受験する</t>
        </is>
      </c>
      <c r="D112" s="8" t="inlineStr">
        <is>
          <t>quiz.html</t>
        </is>
      </c>
      <c r="E112" s="9" t="inlineStr">
        <is>
          <t>合格ライン（75%）以上を取得した</t>
        </is>
      </c>
      <c r="F112" s="8" t="n">
        <v>30</v>
      </c>
      <c r="G112" s="8" t="inlineStr"/>
      <c r="H112" s="7" t="inlineStr"/>
      <c r="I112" s="9" t="inlineStr"/>
    </row>
    <row r="113" ht="18" customHeight="1">
      <c r="A113" s="6" t="n">
        <v>111</v>
      </c>
      <c r="B113" s="4" t="inlineStr">
        <is>
          <t>J テスト</t>
        </is>
      </c>
      <c r="C113" s="4" t="inlineStr">
        <is>
          <t>修了チェック（到達点）を通す</t>
        </is>
      </c>
      <c r="D113" s="6" t="inlineStr">
        <is>
          <t>quiz.html</t>
        </is>
      </c>
      <c r="E113" s="4" t="inlineStr">
        <is>
          <t>修了チェックリストの全項目にチェックが付いた</t>
        </is>
      </c>
      <c r="F113" s="6" t="n">
        <v>30</v>
      </c>
      <c r="G113" s="6" t="inlineStr"/>
      <c r="H113" s="7" t="inlineStr"/>
      <c r="I113" s="4" t="inlineStr"/>
    </row>
  </sheetData>
  <autoFilter ref="A2:I113"/>
  <mergeCells count="1">
    <mergeCell ref="A1:I1"/>
  </mergeCells>
  <dataValidations count="1">
    <dataValidation sqref="H3:H113" showDropDown="0" showInputMessage="0" showErrorMessage="0" allowBlank="1" error="○ / △ / × のいずれかを入力してください" promptTitle="自己判定" prompt="○ = できた / △ = 一部 / × = できない"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6" customWidth="1" min="1" max="1"/>
    <col width="12" customWidth="1" min="2" max="2"/>
    <col width="8" customWidth="1" min="3" max="3"/>
    <col width="8" customWidth="1" min="4" max="4"/>
    <col width="8" customWidth="1" min="5" max="5"/>
    <col width="12" customWidth="1" min="6" max="6"/>
  </cols>
  <sheetData>
    <row r="1" ht="26" customHeight="1">
      <c r="A1" s="1" t="inlineStr">
        <is>
          <t>進捗サマリ（1_学習WBS の自己判定から自動集計）</t>
        </is>
      </c>
    </row>
    <row r="2">
      <c r="A2" s="5" t="inlineStr">
        <is>
          <t>フェーズ</t>
        </is>
      </c>
      <c r="B2" s="5" t="inlineStr">
        <is>
          <t>タスク数</t>
        </is>
      </c>
      <c r="C2" s="5" t="inlineStr">
        <is>
          <t>○</t>
        </is>
      </c>
      <c r="D2" s="5" t="inlineStr">
        <is>
          <t>△</t>
        </is>
      </c>
      <c r="E2" s="5" t="inlineStr">
        <is>
          <t>×</t>
        </is>
      </c>
      <c r="F2" s="5" t="inlineStr">
        <is>
          <t>完了率</t>
        </is>
      </c>
    </row>
    <row r="3">
      <c r="A3" s="4" t="inlineStr">
        <is>
          <t>A 総覧</t>
        </is>
      </c>
      <c r="B3" s="6">
        <f>COUNTIF('1_学習WBS'!$B$3:$B$113,$A3)</f>
        <v/>
      </c>
      <c r="C3" s="6">
        <f>COUNTIFS('1_学習WBS'!$B$3:$B$113,$A3,'1_学習WBS'!$H$3:$H$113,"○")</f>
        <v/>
      </c>
      <c r="D3" s="6">
        <f>COUNTIFS('1_学習WBS'!$B$3:$B$113,$A3,'1_学習WBS'!$H$3:$H$113,"△")</f>
        <v/>
      </c>
      <c r="E3" s="6">
        <f>COUNTIFS('1_学習WBS'!$B$3:$B$113,$A3,'1_学習WBS'!$H$3:$H$113,"×")</f>
        <v/>
      </c>
      <c r="F3" s="10">
        <f>IF(B3=0,"",ROUND(C3/B3*100,0)&amp;" %")</f>
        <v/>
      </c>
    </row>
    <row r="4">
      <c r="A4" s="4" t="inlineStr">
        <is>
          <t>B 概念と設計</t>
        </is>
      </c>
      <c r="B4" s="6">
        <f>COUNTIF('1_学習WBS'!$B$3:$B$113,$A4)</f>
        <v/>
      </c>
      <c r="C4" s="6">
        <f>COUNTIFS('1_学習WBS'!$B$3:$B$113,$A4,'1_学習WBS'!$H$3:$H$113,"○")</f>
        <v/>
      </c>
      <c r="D4" s="6">
        <f>COUNTIFS('1_学習WBS'!$B$3:$B$113,$A4,'1_学習WBS'!$H$3:$H$113,"△")</f>
        <v/>
      </c>
      <c r="E4" s="6">
        <f>COUNTIFS('1_学習WBS'!$B$3:$B$113,$A4,'1_学習WBS'!$H$3:$H$113,"×")</f>
        <v/>
      </c>
      <c r="F4" s="10">
        <f>IF(B4=0,"",ROUND(C4/B4*100,0)&amp;" %")</f>
        <v/>
      </c>
    </row>
    <row r="5">
      <c r="A5" s="4" t="inlineStr">
        <is>
          <t>C 配置（SPRO / マスタ）</t>
        </is>
      </c>
      <c r="B5" s="6">
        <f>COUNTIF('1_学習WBS'!$B$3:$B$113,$A5)</f>
        <v/>
      </c>
      <c r="C5" s="6">
        <f>COUNTIFS('1_学習WBS'!$B$3:$B$113,$A5,'1_学習WBS'!$H$3:$H$113,"○")</f>
        <v/>
      </c>
      <c r="D5" s="6">
        <f>COUNTIFS('1_学習WBS'!$B$3:$B$113,$A5,'1_学習WBS'!$H$3:$H$113,"△")</f>
        <v/>
      </c>
      <c r="E5" s="6">
        <f>COUNTIFS('1_学習WBS'!$B$3:$B$113,$A5,'1_学習WBS'!$H$3:$H$113,"×")</f>
        <v/>
      </c>
      <c r="F5" s="10">
        <f>IF(B5=0,"",ROUND(C5/B5*100,0)&amp;" %")</f>
        <v/>
      </c>
    </row>
    <row r="6">
      <c r="A6" s="4" t="inlineStr">
        <is>
          <t>D 練習①</t>
        </is>
      </c>
      <c r="B6" s="6">
        <f>COUNTIF('1_学習WBS'!$B$3:$B$113,$A6)</f>
        <v/>
      </c>
      <c r="C6" s="6">
        <f>COUNTIFS('1_学習WBS'!$B$3:$B$113,$A6,'1_学習WBS'!$H$3:$H$113,"○")</f>
        <v/>
      </c>
      <c r="D6" s="6">
        <f>COUNTIFS('1_学習WBS'!$B$3:$B$113,$A6,'1_学習WBS'!$H$3:$H$113,"△")</f>
        <v/>
      </c>
      <c r="E6" s="6">
        <f>COUNTIFS('1_学習WBS'!$B$3:$B$113,$A6,'1_学習WBS'!$H$3:$H$113,"×")</f>
        <v/>
      </c>
      <c r="F6" s="10">
        <f>IF(B6=0,"",ROUND(C6/B6*100,0)&amp;" %")</f>
        <v/>
      </c>
    </row>
    <row r="7">
      <c r="A7" s="4" t="inlineStr">
        <is>
          <t>D 練習①（验收）</t>
        </is>
      </c>
      <c r="B7" s="6">
        <f>COUNTIF('1_学習WBS'!$B$3:$B$113,$A7)</f>
        <v/>
      </c>
      <c r="C7" s="6">
        <f>COUNTIFS('1_学習WBS'!$B$3:$B$113,$A7,'1_学習WBS'!$H$3:$H$113,"○")</f>
        <v/>
      </c>
      <c r="D7" s="6">
        <f>COUNTIFS('1_学習WBS'!$B$3:$B$113,$A7,'1_学習WBS'!$H$3:$H$113,"△")</f>
        <v/>
      </c>
      <c r="E7" s="6">
        <f>COUNTIFS('1_学習WBS'!$B$3:$B$113,$A7,'1_学習WBS'!$H$3:$H$113,"×")</f>
        <v/>
      </c>
      <c r="F7" s="10">
        <f>IF(B7=0,"",ROUND(C7/B7*100,0)&amp;" %")</f>
        <v/>
      </c>
    </row>
    <row r="8">
      <c r="A8" s="4" t="inlineStr">
        <is>
          <t>E 練習②</t>
        </is>
      </c>
      <c r="B8" s="6">
        <f>COUNTIF('1_学習WBS'!$B$3:$B$113,$A8)</f>
        <v/>
      </c>
      <c r="C8" s="6">
        <f>COUNTIFS('1_学習WBS'!$B$3:$B$113,$A8,'1_学習WBS'!$H$3:$H$113,"○")</f>
        <v/>
      </c>
      <c r="D8" s="6">
        <f>COUNTIFS('1_学習WBS'!$B$3:$B$113,$A8,'1_学習WBS'!$H$3:$H$113,"△")</f>
        <v/>
      </c>
      <c r="E8" s="6">
        <f>COUNTIFS('1_学習WBS'!$B$3:$B$113,$A8,'1_学習WBS'!$H$3:$H$113,"×")</f>
        <v/>
      </c>
      <c r="F8" s="10">
        <f>IF(B8=0,"",ROUND(C8/B8*100,0)&amp;" %")</f>
        <v/>
      </c>
    </row>
    <row r="9">
      <c r="A9" s="4" t="inlineStr">
        <is>
          <t>E 練習②（验收）</t>
        </is>
      </c>
      <c r="B9" s="6">
        <f>COUNTIF('1_学習WBS'!$B$3:$B$113,$A9)</f>
        <v/>
      </c>
      <c r="C9" s="6">
        <f>COUNTIFS('1_学習WBS'!$B$3:$B$113,$A9,'1_学習WBS'!$H$3:$H$113,"○")</f>
        <v/>
      </c>
      <c r="D9" s="6">
        <f>COUNTIFS('1_学習WBS'!$B$3:$B$113,$A9,'1_学習WBS'!$H$3:$H$113,"△")</f>
        <v/>
      </c>
      <c r="E9" s="6">
        <f>COUNTIFS('1_学習WBS'!$B$3:$B$113,$A9,'1_学習WBS'!$H$3:$H$113,"×")</f>
        <v/>
      </c>
      <c r="F9" s="10">
        <f>IF(B9=0,"",ROUND(C9/B9*100,0)&amp;" %")</f>
        <v/>
      </c>
    </row>
    <row r="10">
      <c r="A10" s="4" t="inlineStr">
        <is>
          <t>F 練習③</t>
        </is>
      </c>
      <c r="B10" s="6">
        <f>COUNTIF('1_学習WBS'!$B$3:$B$113,$A10)</f>
        <v/>
      </c>
      <c r="C10" s="6">
        <f>COUNTIFS('1_学習WBS'!$B$3:$B$113,$A10,'1_学習WBS'!$H$3:$H$113,"○")</f>
        <v/>
      </c>
      <c r="D10" s="6">
        <f>COUNTIFS('1_学習WBS'!$B$3:$B$113,$A10,'1_学習WBS'!$H$3:$H$113,"△")</f>
        <v/>
      </c>
      <c r="E10" s="6">
        <f>COUNTIFS('1_学習WBS'!$B$3:$B$113,$A10,'1_学習WBS'!$H$3:$H$113,"×")</f>
        <v/>
      </c>
      <c r="F10" s="10">
        <f>IF(B10=0,"",ROUND(C10/B10*100,0)&amp;" %")</f>
        <v/>
      </c>
    </row>
    <row r="11">
      <c r="A11" s="4" t="inlineStr">
        <is>
          <t>F 練習③（验收）</t>
        </is>
      </c>
      <c r="B11" s="6">
        <f>COUNTIF('1_学習WBS'!$B$3:$B$113,$A11)</f>
        <v/>
      </c>
      <c r="C11" s="6">
        <f>COUNTIFS('1_学習WBS'!$B$3:$B$113,$A11,'1_学習WBS'!$H$3:$H$113,"○")</f>
        <v/>
      </c>
      <c r="D11" s="6">
        <f>COUNTIFS('1_学習WBS'!$B$3:$B$113,$A11,'1_学習WBS'!$H$3:$H$113,"△")</f>
        <v/>
      </c>
      <c r="E11" s="6">
        <f>COUNTIFS('1_学習WBS'!$B$3:$B$113,$A11,'1_学習WBS'!$H$3:$H$113,"×")</f>
        <v/>
      </c>
      <c r="F11" s="10">
        <f>IF(B11=0,"",ROUND(C11/B11*100,0)&amp;" %")</f>
        <v/>
      </c>
    </row>
    <row r="12">
      <c r="A12" s="4" t="inlineStr">
        <is>
          <t>G 練習④</t>
        </is>
      </c>
      <c r="B12" s="6">
        <f>COUNTIF('1_学習WBS'!$B$3:$B$113,$A12)</f>
        <v/>
      </c>
      <c r="C12" s="6">
        <f>COUNTIFS('1_学習WBS'!$B$3:$B$113,$A12,'1_学習WBS'!$H$3:$H$113,"○")</f>
        <v/>
      </c>
      <c r="D12" s="6">
        <f>COUNTIFS('1_学習WBS'!$B$3:$B$113,$A12,'1_学習WBS'!$H$3:$H$113,"△")</f>
        <v/>
      </c>
      <c r="E12" s="6">
        <f>COUNTIFS('1_学習WBS'!$B$3:$B$113,$A12,'1_学習WBS'!$H$3:$H$113,"×")</f>
        <v/>
      </c>
      <c r="F12" s="10">
        <f>IF(B12=0,"",ROUND(C12/B12*100,0)&amp;" %")</f>
        <v/>
      </c>
    </row>
    <row r="13">
      <c r="A13" s="4" t="inlineStr">
        <is>
          <t>G 練習④（验收）</t>
        </is>
      </c>
      <c r="B13" s="6">
        <f>COUNTIF('1_学習WBS'!$B$3:$B$113,$A13)</f>
        <v/>
      </c>
      <c r="C13" s="6">
        <f>COUNTIFS('1_学習WBS'!$B$3:$B$113,$A13,'1_学習WBS'!$H$3:$H$113,"○")</f>
        <v/>
      </c>
      <c r="D13" s="6">
        <f>COUNTIFS('1_学習WBS'!$B$3:$B$113,$A13,'1_学習WBS'!$H$3:$H$113,"△")</f>
        <v/>
      </c>
      <c r="E13" s="6">
        <f>COUNTIFS('1_学習WBS'!$B$3:$B$113,$A13,'1_学習WBS'!$H$3:$H$113,"×")</f>
        <v/>
      </c>
      <c r="F13" s="10">
        <f>IF(B13=0,"",ROUND(C13/B13*100,0)&amp;" %")</f>
        <v/>
      </c>
    </row>
    <row r="14">
      <c r="A14" s="4" t="inlineStr">
        <is>
          <t>H 練習⑤（発展・故障）</t>
        </is>
      </c>
      <c r="B14" s="6">
        <f>COUNTIF('1_学習WBS'!$B$3:$B$113,$A14)</f>
        <v/>
      </c>
      <c r="C14" s="6">
        <f>COUNTIFS('1_学習WBS'!$B$3:$B$113,$A14,'1_学習WBS'!$H$3:$H$113,"○")</f>
        <v/>
      </c>
      <c r="D14" s="6">
        <f>COUNTIFS('1_学習WBS'!$B$3:$B$113,$A14,'1_学習WBS'!$H$3:$H$113,"△")</f>
        <v/>
      </c>
      <c r="E14" s="6">
        <f>COUNTIFS('1_学習WBS'!$B$3:$B$113,$A14,'1_学習WBS'!$H$3:$H$113,"×")</f>
        <v/>
      </c>
      <c r="F14" s="10">
        <f>IF(B14=0,"",ROUND(C14/B14*100,0)&amp;" %")</f>
        <v/>
      </c>
    </row>
    <row r="15">
      <c r="A15" s="4" t="inlineStr">
        <is>
          <t>H 練習⑤（発展・故障）（验收）</t>
        </is>
      </c>
      <c r="B15" s="6">
        <f>COUNTIF('1_学習WBS'!$B$3:$B$113,$A15)</f>
        <v/>
      </c>
      <c r="C15" s="6">
        <f>COUNTIFS('1_学習WBS'!$B$3:$B$113,$A15,'1_学習WBS'!$H$3:$H$113,"○")</f>
        <v/>
      </c>
      <c r="D15" s="6">
        <f>COUNTIFS('1_学習WBS'!$B$3:$B$113,$A15,'1_学習WBS'!$H$3:$H$113,"△")</f>
        <v/>
      </c>
      <c r="E15" s="6">
        <f>COUNTIFS('1_学習WBS'!$B$3:$B$113,$A15,'1_学習WBS'!$H$3:$H$113,"×")</f>
        <v/>
      </c>
      <c r="F15" s="10">
        <f>IF(B15=0,"",ROUND(C15/B15*100,0)&amp;" %")</f>
        <v/>
      </c>
    </row>
    <row r="16">
      <c r="A16" s="4" t="inlineStr">
        <is>
          <t>I 受講者版</t>
        </is>
      </c>
      <c r="B16" s="6">
        <f>COUNTIF('1_学習WBS'!$B$3:$B$113,$A16)</f>
        <v/>
      </c>
      <c r="C16" s="6">
        <f>COUNTIFS('1_学習WBS'!$B$3:$B$113,$A16,'1_学習WBS'!$H$3:$H$113,"○")</f>
        <v/>
      </c>
      <c r="D16" s="6">
        <f>COUNTIFS('1_学習WBS'!$B$3:$B$113,$A16,'1_学習WBS'!$H$3:$H$113,"△")</f>
        <v/>
      </c>
      <c r="E16" s="6">
        <f>COUNTIFS('1_学習WBS'!$B$3:$B$113,$A16,'1_学習WBS'!$H$3:$H$113,"×")</f>
        <v/>
      </c>
      <c r="F16" s="10">
        <f>IF(B16=0,"",ROUND(C16/B16*100,0)&amp;" %")</f>
        <v/>
      </c>
    </row>
    <row r="17">
      <c r="A17" s="4" t="inlineStr">
        <is>
          <t>J テスト</t>
        </is>
      </c>
      <c r="B17" s="6">
        <f>COUNTIF('1_学習WBS'!$B$3:$B$113,$A17)</f>
        <v/>
      </c>
      <c r="C17" s="6">
        <f>COUNTIFS('1_学習WBS'!$B$3:$B$113,$A17,'1_学習WBS'!$H$3:$H$113,"○")</f>
        <v/>
      </c>
      <c r="D17" s="6">
        <f>COUNTIFS('1_学習WBS'!$B$3:$B$113,$A17,'1_学習WBS'!$H$3:$H$113,"△")</f>
        <v/>
      </c>
      <c r="E17" s="6">
        <f>COUNTIFS('1_学習WBS'!$B$3:$B$113,$A17,'1_学習WBS'!$H$3:$H$113,"×")</f>
        <v/>
      </c>
      <c r="F17" s="10">
        <f>IF(B17=0,"",ROUND(C17/B17*100,0)&amp;" %")</f>
        <v/>
      </c>
    </row>
    <row r="18">
      <c r="A18" s="11" t="inlineStr">
        <is>
          <t>合計 / 全体</t>
        </is>
      </c>
      <c r="B18" s="12">
        <f>SUM(B3:B17)</f>
        <v/>
      </c>
      <c r="C18" s="12">
        <f>SUM(C3:C17)</f>
        <v/>
      </c>
      <c r="D18" s="12">
        <f>SUM(D3:D17)</f>
        <v/>
      </c>
      <c r="E18" s="12">
        <f>SUM(E3:E17)</f>
        <v/>
      </c>
      <c r="F18" s="12">
        <f>IF(B18=0,"",ROUND(C18/B18*100,0)&amp;" %")</f>
        <v/>
      </c>
    </row>
    <row r="20">
      <c r="A20" s="13" t="inlineStr">
        <is>
          <t>実施合計時間（分）</t>
        </is>
      </c>
      <c r="B20" s="14">
        <f>SUM('1_学習WBS'!$F$3:$F$113)</f>
        <v/>
      </c>
    </row>
    <row r="21">
      <c r="A21" s="13" t="inlineStr">
        <is>
          <t>○ のみの合計時間（分）</t>
        </is>
      </c>
      <c r="B21" s="14">
        <f>SUMIFS('1_学習WBS'!$F$3:$F$113,'1_学習WBS'!$H$3:$H$113,"○")</f>
        <v/>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5" customWidth="1" min="1" max="1"/>
    <col width="38" customWidth="1" min="2" max="2"/>
    <col width="40" customWidth="1" min="3" max="3"/>
    <col width="30" customWidth="1" min="4" max="4"/>
    <col width="12" customWidth="1" min="5" max="5"/>
    <col width="34" customWidth="1" min="6" max="6"/>
  </cols>
  <sheetData>
    <row r="1" ht="26" customHeight="1">
      <c r="A1" s="1" t="inlineStr">
        <is>
          <t>実機記録（伝票番号・数値・証跡）— 講師の確認対象</t>
        </is>
      </c>
    </row>
    <row r="2">
      <c r="A2" s="5" t="inlineStr">
        <is>
          <t>#</t>
        </is>
      </c>
      <c r="B2" s="5" t="inlineStr">
        <is>
          <t>記録項目</t>
        </is>
      </c>
      <c r="C2" s="5" t="inlineStr">
        <is>
          <t>期待値・見方</t>
        </is>
      </c>
      <c r="D2" s="5" t="inlineStr">
        <is>
          <t>実測値 / 伝票番号</t>
        </is>
      </c>
      <c r="E2" s="5" t="inlineStr">
        <is>
          <t>実施日</t>
        </is>
      </c>
      <c r="F2" s="5" t="inlineStr">
        <is>
          <t>証跡メモ</t>
        </is>
      </c>
    </row>
    <row r="3" ht="22" customHeight="1">
      <c r="A3" s="6" t="n">
        <v>1</v>
      </c>
      <c r="B3" s="4" t="inlineStr">
        <is>
          <t>受注番号（VA01）</t>
        </is>
      </c>
      <c r="C3" s="4" t="inlineStr">
        <is>
          <t>練習①で 1 件</t>
        </is>
      </c>
      <c r="D3" s="15" t="n"/>
      <c r="E3" s="16" t="n"/>
      <c r="F3" s="15" t="n"/>
    </row>
    <row r="4" ht="22" customHeight="1">
      <c r="A4" s="6" t="n">
        <v>2</v>
      </c>
      <c r="B4" s="4" t="inlineStr">
        <is>
          <t>明細カテゴリ（VA03 明細詳細）</t>
        </is>
      </c>
      <c r="C4" s="4" t="inlineStr">
        <is>
          <t>TAN（動画のデモ値）</t>
        </is>
      </c>
      <c r="D4" s="15" t="n"/>
      <c r="E4" s="16" t="n"/>
      <c r="F4" s="15" t="n"/>
    </row>
    <row r="5" ht="22" customHeight="1">
      <c r="A5" s="6" t="n">
        <v>3</v>
      </c>
      <c r="B5" s="4" t="inlineStr">
        <is>
          <t>出荷プラント（VA03 / VBAP-WERKS）</t>
        </is>
      </c>
      <c r="C5" s="4" t="inlineStr">
        <is>
          <t>1200（動画のデモ値。自システムの実測値を記録）</t>
        </is>
      </c>
      <c r="D5" s="15" t="n"/>
      <c r="E5" s="16" t="n"/>
      <c r="F5" s="15" t="n"/>
    </row>
    <row r="6" ht="22" customHeight="1">
      <c r="A6" s="6" t="n">
        <v>4</v>
      </c>
      <c r="B6" s="4" t="inlineStr">
        <is>
          <t>正味価額（Net value）</t>
        </is>
      </c>
      <c r="C6" s="4" t="inlineStr">
        <is>
          <t>動画は 22,990.00 EUR。自システムの金額</t>
        </is>
      </c>
      <c r="D6" s="15" t="n"/>
      <c r="E6" s="16" t="n"/>
      <c r="F6" s="15" t="n"/>
    </row>
    <row r="7" ht="22" customHeight="1">
      <c r="A7" s="6" t="n">
        <v>5</v>
      </c>
      <c r="B7" s="4" t="inlineStr">
        <is>
          <t>与力条件（VA03 条件画面）</t>
        </is>
      </c>
      <c r="C7" s="4" t="inlineStr">
        <is>
          <t>PR00 / MWST と金額・与力日付</t>
        </is>
      </c>
      <c r="D7" s="15" t="n"/>
      <c r="E7" s="16" t="n"/>
      <c r="F7" s="15" t="n"/>
    </row>
    <row r="8" ht="22" customHeight="1">
      <c r="A8" s="6" t="n">
        <v>6</v>
      </c>
      <c r="B8" s="4" t="inlineStr">
        <is>
          <t>納入日程行カテゴリ / 納入日（VBEP）</t>
        </is>
      </c>
      <c r="C8" s="4" t="inlineStr">
        <is>
          <t>カテゴリと日付</t>
        </is>
      </c>
      <c r="D8" s="15" t="n"/>
      <c r="E8" s="16" t="n"/>
      <c r="F8" s="15" t="n"/>
    </row>
    <row r="9" ht="22" customHeight="1">
      <c r="A9" s="6" t="n">
        <v>7</v>
      </c>
      <c r="B9" s="4" t="inlineStr">
        <is>
          <t>変更後の出荷プラント（VA02 → VBAP）</t>
        </is>
      </c>
      <c r="C9" s="4" t="inlineStr">
        <is>
          <t>変更前後の値</t>
        </is>
      </c>
      <c r="D9" s="15" t="n"/>
      <c r="E9" s="16" t="n"/>
      <c r="F9" s="15" t="n"/>
    </row>
    <row r="10" ht="22" customHeight="1">
      <c r="A10" s="6" t="n">
        <v>8</v>
      </c>
      <c r="B10" s="4" t="inlineStr">
        <is>
          <t>ブロック 3 階層の設定と解除（VA02）</t>
        </is>
      </c>
      <c r="C10" s="4" t="inlineStr">
        <is>
          <t>納入ブロック・請求ブロックの値</t>
        </is>
      </c>
      <c r="D10" s="15" t="n"/>
      <c r="E10" s="16" t="n"/>
      <c r="F10" s="15" t="n"/>
    </row>
    <row r="11" ht="22" customHeight="1">
      <c r="A11" s="6" t="n">
        <v>9</v>
      </c>
      <c r="B11" s="4" t="inlineStr">
        <is>
          <t>Sales Summary の与信値（VC/2）</t>
        </is>
      </c>
      <c r="C11" s="4" t="inlineStr">
        <is>
          <t>Credit Limit / Usage / Delta / Consumption %</t>
        </is>
      </c>
      <c r="D11" s="15" t="n"/>
      <c r="E11" s="16" t="n"/>
      <c r="F11" s="15" t="n"/>
    </row>
    <row r="12" ht="22" customHeight="1">
      <c r="A12" s="6" t="n">
        <v>10</v>
      </c>
      <c r="B12" s="4" t="inlineStr">
        <is>
          <t>出荷伝票番号と PGI の実行（VL01N / VL02N）</t>
        </is>
      </c>
      <c r="C12" s="4" t="inlineStr">
        <is>
          <t>番号・数量・移動タイプ 601</t>
        </is>
      </c>
      <c r="D12" s="15" t="n"/>
      <c r="E12" s="16" t="n"/>
      <c r="F12" s="15" t="n"/>
    </row>
    <row r="13" ht="22" customHeight="1">
      <c r="A13" s="6" t="n">
        <v>11</v>
      </c>
      <c r="B13" s="4" t="inlineStr">
        <is>
          <t>請求書番号と金額（VF01 / VF03）</t>
        </is>
      </c>
      <c r="C13" s="4" t="inlineStr">
        <is>
          <t>受注金額との一致</t>
        </is>
      </c>
      <c r="D13" s="15" t="n"/>
      <c r="E13" s="16" t="n"/>
      <c r="F13" s="15" t="n"/>
    </row>
    <row r="14" ht="22" customHeight="1">
      <c r="A14" s="6" t="n">
        <v>12</v>
      </c>
      <c r="B14" s="4" t="inlineStr">
        <is>
          <t>伝票フロー（VA03）に揃った伝票</t>
        </is>
      </c>
      <c r="C14" s="4" t="inlineStr">
        <is>
          <t>受注 → 出荷 → 請求 の 3 種</t>
        </is>
      </c>
      <c r="D14" s="15" t="n"/>
      <c r="E14" s="16" t="n"/>
      <c r="F14" s="15" t="n"/>
    </row>
    <row r="15" ht="22" customHeight="1">
      <c r="A15" s="6" t="n">
        <v>13</v>
      </c>
      <c r="B15" s="4" t="inlineStr">
        <is>
          <t>不完全な受注（V.02）</t>
        </is>
      </c>
      <c r="C15" s="4" t="inlineStr">
        <is>
          <t>わざと作った不完全伝票と、修正後に消えたこと</t>
        </is>
      </c>
      <c r="D15" s="15" t="n"/>
      <c r="E15" s="16" t="n"/>
      <c r="F15" s="15"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78" customWidth="1" min="2" max="2"/>
    <col width="14" customWidth="1" min="3" max="3"/>
  </cols>
  <sheetData>
    <row r="1" ht="26" customHeight="1">
      <c r="A1" s="1" t="inlineStr">
        <is>
          <t>修了判定（到達点チェックと講師確認）</t>
        </is>
      </c>
    </row>
    <row r="2">
      <c r="A2" s="5" t="inlineStr">
        <is>
          <t>#</t>
        </is>
      </c>
      <c r="B2" s="5" t="inlineStr">
        <is>
          <t>到達点（これが言えたら本教材は修了）</t>
        </is>
      </c>
      <c r="C2" s="5" t="inlineStr">
        <is>
          <t>チェック</t>
        </is>
      </c>
    </row>
    <row r="3" ht="20" customHeight="1">
      <c r="A3" s="6" t="n">
        <v>1</v>
      </c>
      <c r="B3" s="4" t="inlineStr">
        <is>
          <t>伝票データの 4 つの源泉を、受注の実例で説明できた</t>
        </is>
      </c>
      <c r="C3" s="16" t="inlineStr"/>
    </row>
    <row r="4" ht="20" customHeight="1">
      <c r="A4" s="6" t="n">
        <v>2</v>
      </c>
      <c r="B4" s="4" t="inlineStr">
        <is>
          <t>出荷プラントの 3 段階の優先順位を実測で示せた</t>
        </is>
      </c>
      <c r="C4" s="16" t="inlineStr"/>
    </row>
    <row r="5" ht="20" customHeight="1">
      <c r="A5" s="6" t="n">
        <v>3</v>
      </c>
      <c r="B5" s="4" t="inlineStr">
        <is>
          <t>受注 → 変更 → 照会 → 出荷 → 請求 を 1 人で通した</t>
        </is>
      </c>
      <c r="C5" s="16" t="inlineStr"/>
    </row>
    <row r="6" ht="20" customHeight="1">
      <c r="A6" s="6" t="n">
        <v>4</v>
      </c>
      <c r="B6" s="4" t="inlineStr">
        <is>
          <t>得意先変更の再決定／不変を、実際の受注で確認した</t>
        </is>
      </c>
      <c r="C6" s="16" t="inlineStr"/>
    </row>
    <row r="7" ht="20" customHeight="1">
      <c r="A7" s="6" t="n">
        <v>5</v>
      </c>
      <c r="B7" s="4" t="inlineStr">
        <is>
          <t>ブロックの 3 階層を設定・解除し、由来を区別できた</t>
        </is>
      </c>
      <c r="C7" s="16" t="inlineStr"/>
    </row>
    <row r="8" ht="20" customHeight="1">
      <c r="A8" s="6" t="n">
        <v>6</v>
      </c>
      <c r="B8" s="4" t="inlineStr">
        <is>
          <t>故障対照表から 2 件以上を再現し、症状→根因→証拠→処置を記録した</t>
        </is>
      </c>
      <c r="C8" s="16" t="inlineStr"/>
    </row>
    <row r="9" ht="20" customHeight="1">
      <c r="A9" s="6" t="n">
        <v>7</v>
      </c>
      <c r="B9" s="4" t="inlineStr">
        <is>
          <t>つまずいた点を「症状 → 根因 → 証拠 → 処置 → 再発防止」で 1 件以上記録できた</t>
        </is>
      </c>
      <c r="C9" s="16" t="inlineStr"/>
    </row>
    <row r="10" ht="20" customHeight="1">
      <c r="A10" s="6" t="n">
        <v>8</v>
      </c>
      <c r="B10" s="4" t="inlineStr">
        <is>
          <t>能力测试（quiz.html）で 75% 以上（28 題中 21 問以上）</t>
        </is>
      </c>
      <c r="C10" s="16" t="inlineStr"/>
    </row>
    <row r="12" ht="34" customHeight="1">
      <c r="A12" s="3" t="inlineStr">
        <is>
          <t>再受講が必要な分野（△ × のあったフェーズ）</t>
        </is>
      </c>
      <c r="B12" s="17" t="inlineStr"/>
    </row>
    <row r="13" ht="34" customHeight="1">
      <c r="A13" s="3" t="inlineStr">
        <is>
          <t>講師所見</t>
        </is>
      </c>
      <c r="B13" s="17" t="inlineStr"/>
    </row>
    <row r="14" ht="34" customHeight="1">
      <c r="A14" s="3" t="inlineStr">
        <is>
          <t>実施日 / 講師署名</t>
        </is>
      </c>
      <c r="B14" s="17" t="inlineStr"/>
    </row>
  </sheetData>
  <mergeCells count="4">
    <mergeCell ref="A1:C1"/>
    <mergeCell ref="B14:C14"/>
    <mergeCell ref="B13:C13"/>
    <mergeCell ref="B12:C12"/>
  </mergeCells>
  <dataValidations count="1">
    <dataValidation sqref="C3:C10"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2026-09-12T14:10:41Z</dcterms:created>
  <dcterms:modified xsi:type="dcterms:W3CDTF">2026-09-12T14:10:41Z</dcterms:modified>
</cp:coreProperties>
</file>