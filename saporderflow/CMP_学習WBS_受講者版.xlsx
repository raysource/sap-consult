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進め方" sheetId="1" state="visible" r:id="rId1"/>
    <sheet name="1_学習WBS" sheetId="2" state="visible" r:id="rId2"/>
    <sheet name="2_進捗サマリ" sheetId="3" state="visible" r:id="rId3"/>
    <sheet name="3_実機記録" sheetId="4" state="visible" r:id="rId4"/>
    <sheet name="4_修了判定" sheetId="5" state="visible" r:id="rId5"/>
  </sheets>
  <definedNames>
    <definedName name="_xlnm._FilterDatabase" localSheetId="1" hidden="1">'1_学習WBS'!$A$2:$I$21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1D2D3E"/>
      <sz val="10"/>
    </font>
  </fonts>
  <fills count="6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8F5E9"/>
      </patternFill>
    </fill>
    <fill>
      <patternFill patternType="solid">
        <fgColor rgb="00F2F4F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学習WBS（受講者版）— 受注形態の横断比較（講義）</t>
        </is>
      </c>
    </row>
    <row r="2">
      <c r="A2" s="2" t="inlineStr">
        <is>
          <t>SAP S/4HANA 業務実践トレーニング / 記入式の進捗管理ワークブック（サイト版と同期）</t>
        </is>
      </c>
    </row>
    <row r="3" ht="26" customHeight="1">
      <c r="A3" s="3" t="inlineStr">
        <is>
          <t>本ワークブックの使い方</t>
        </is>
      </c>
      <c r="B3" s="4" t="inlineStr">
        <is>
          <t>本站は実機の手顺ではなく「比較と判断」の講義教材です。WBS は各ページの見出し単位で並んでいます。読むだけでなく、各項目を「自分の言葉で説明できるか」で判定してください（説明できない項目は △ か ×）。</t>
        </is>
      </c>
    </row>
    <row r="4" ht="26" customHeight="1">
      <c r="A4" s="3" t="inlineStr">
        <is>
          <t>目安時間</t>
        </is>
      </c>
      <c r="B4" s="4" t="inlineStr">
        <is>
          <t>講義 90 分（速習）〜 180 分（デモ付き）。4〜5 時間版は sapmto と sapeto の実機を挟みます。</t>
        </is>
      </c>
    </row>
    <row r="5" ht="26" customHeight="1">
      <c r="A5" s="3" t="inlineStr">
        <is>
          <t>到達点</t>
        </is>
      </c>
      <c r="B5" s="4" t="inlineStr">
        <is>
          <t>5 形態を「計画起点・库存区分・成本対象・請求方式」で言い分けられること、そして E と Q の 4 点セットを暗唱できること。</t>
        </is>
      </c>
    </row>
    <row r="7">
      <c r="A7" s="3" t="inlineStr">
        <is>
          <t>凡例</t>
        </is>
      </c>
      <c r="B7" s="4" t="inlineStr">
        <is>
          <t>○ ＝ できた（完成基準を満たした）／△ ＝ 一部できた（要確認）／× ＝ できなかった。「2_進捗サマリ」にフェーズ別の完了率が自動計算されます。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2" customWidth="1" min="4" max="4"/>
    <col width="62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学習WBS — 受注形態の横断比較（講義）（上から順に実施）</t>
        </is>
      </c>
    </row>
    <row r="2" ht="24" customHeight="1">
      <c r="A2" s="5" t="inlineStr">
        <is>
          <t>#</t>
        </is>
      </c>
      <c r="B2" s="5" t="inlineStr">
        <is>
          <t>フェーズ</t>
        </is>
      </c>
      <c r="C2" s="5" t="inlineStr">
        <is>
          <t>タスク</t>
        </is>
      </c>
      <c r="D2" s="5" t="inlineStr">
        <is>
          <t>参照ページ</t>
        </is>
      </c>
      <c r="E2" s="5" t="inlineStr">
        <is>
          <t>完成基準（ここを満たしたら ○）</t>
        </is>
      </c>
      <c r="F2" s="5" t="inlineStr">
        <is>
          <t>目安(分)</t>
        </is>
      </c>
      <c r="G2" s="5" t="inlineStr">
        <is>
          <t>実施日</t>
        </is>
      </c>
      <c r="H2" s="5" t="inlineStr">
        <is>
          <t>自己判定</t>
        </is>
      </c>
      <c r="I2" s="5" t="inlineStr">
        <is>
          <t>メモ</t>
        </is>
      </c>
    </row>
    <row r="3" ht="18" customHeight="1">
      <c r="A3" s="6" t="n">
        <v>1</v>
      </c>
      <c r="B3" s="4" t="inlineStr">
        <is>
          <t>A 総覧</t>
        </is>
      </c>
      <c r="C3" s="4" t="inlineStr">
        <is>
          <t>5 形態を 1 行ずつ説明できる</t>
        </is>
      </c>
      <c r="D3" s="6" t="inlineStr">
        <is>
          <t>index.html</t>
        </is>
      </c>
      <c r="E3" s="4" t="inlineStr">
        <is>
          <t>MTS / MTO / ETO / ATO / VC を、計画起点と库存区分で説明できる</t>
        </is>
      </c>
      <c r="F3" s="6" t="n">
        <v>10</v>
      </c>
      <c r="G3" s="6" t="inlineStr"/>
      <c r="H3" s="7" t="inlineStr"/>
      <c r="I3" s="4" t="inlineStr"/>
    </row>
    <row r="4" ht="26" customHeight="1">
      <c r="A4" s="8" t="n">
        <v>2</v>
      </c>
      <c r="B4" s="9" t="inlineStr">
        <is>
          <t>A 総覧</t>
        </is>
      </c>
      <c r="C4" s="9" t="inlineStr">
        <is>
          <t>選型判断の 3 つの問いを使える</t>
        </is>
      </c>
      <c r="D4" s="8" t="inlineStr">
        <is>
          <t>index.html</t>
        </is>
      </c>
      <c r="E4" s="9" t="inlineStr">
        <is>
          <t>①受注の前に作るか ②案件単位で原価・収益を管理するか ③顧客が仕様を選ぶか、の順で形態を絞れる</t>
        </is>
      </c>
      <c r="F4" s="8" t="n">
        <v>10</v>
      </c>
      <c r="G4" s="8" t="inlineStr"/>
      <c r="H4" s="7" t="inlineStr"/>
      <c r="I4" s="9" t="inlineStr"/>
    </row>
    <row r="5" ht="26" customHeight="1">
      <c r="A5" s="6" t="n">
        <v>3</v>
      </c>
      <c r="B5" s="4" t="inlineStr">
        <is>
          <t>A 総覧</t>
        </is>
      </c>
      <c r="C5" s="4" t="inlineStr">
        <is>
          <t>両实训站との関係を説明できる</t>
        </is>
      </c>
      <c r="D5" s="6" t="inlineStr">
        <is>
          <t>index.html</t>
        </is>
      </c>
      <c r="E5" s="4" t="inlineStr">
        <is>
          <t>本サイトで判断し、実機は ../sapmto/（E）と ../sapeto/（Q）で通す、という役割分担を説明できる</t>
        </is>
      </c>
      <c r="F5" s="6" t="n">
        <v>10</v>
      </c>
      <c r="G5" s="6" t="inlineStr"/>
      <c r="H5" s="7" t="inlineStr"/>
      <c r="I5" s="4" t="inlineStr"/>
    </row>
    <row r="6" ht="26" customHeight="1">
      <c r="A6" s="8" t="n">
        <v>4</v>
      </c>
      <c r="B6" s="9" t="inlineStr">
        <is>
          <t>B 横断比較</t>
        </is>
      </c>
      <c r="C6" s="9" t="inlineStr">
        <is>
          <t>9 维度 × 5 形態マトリクスを上から読める</t>
        </is>
      </c>
      <c r="D6" s="8" t="inlineStr">
        <is>
          <t>compare.html</t>
        </is>
      </c>
      <c r="E6" s="9" t="inlineStr">
        <is>
          <t>計画起点 → 库存区分 → 需要の単位 → 調達/製造 → 成本の対象 → 請求方式 → 収益認識 の因果を、1 本の線で説明できる</t>
        </is>
      </c>
      <c r="F6" s="8" t="n">
        <v>15</v>
      </c>
      <c r="G6" s="8" t="inlineStr"/>
      <c r="H6" s="7" t="inlineStr"/>
      <c r="I6" s="9" t="inlineStr"/>
    </row>
    <row r="7" ht="26" customHeight="1">
      <c r="A7" s="6" t="n">
        <v>5</v>
      </c>
      <c r="B7" s="4" t="inlineStr">
        <is>
          <t>B 横断比較</t>
        </is>
      </c>
      <c r="C7" s="4" t="inlineStr">
        <is>
          <t>戦略グループ早見表を使える</t>
        </is>
      </c>
      <c r="D7" s="6" t="inlineStr">
        <is>
          <t>compare.html</t>
        </is>
      </c>
      <c r="E7" s="4" t="inlineStr">
        <is>
          <t>10 / 20 / 25 / 82 / E2 と、所要量タイプ（KE / KEK / KMFA / E21）・所要量クラス（040 系 / 046 / 201）を対応付けられる</t>
        </is>
      </c>
      <c r="F7" s="6" t="n">
        <v>15</v>
      </c>
      <c r="G7" s="6" t="inlineStr"/>
      <c r="H7" s="7" t="inlineStr"/>
      <c r="I7" s="4" t="inlineStr"/>
    </row>
    <row r="8" ht="18" customHeight="1">
      <c r="A8" s="8" t="n">
        <v>6</v>
      </c>
      <c r="B8" s="9" t="inlineStr">
        <is>
          <t>B 横断比較</t>
        </is>
      </c>
      <c r="C8" s="9" t="inlineStr">
        <is>
          <t>在庫テーブル早見表を使える</t>
        </is>
      </c>
      <c r="D8" s="8" t="inlineStr">
        <is>
          <t>compare.html</t>
        </is>
      </c>
      <c r="E8" s="9" t="inlineStr">
        <is>
          <t>MARD（自由）/ MSKA（E）/ MSPR（Q）/ MSKU（預託）を即答できる</t>
        </is>
      </c>
      <c r="F8" s="8" t="n">
        <v>15</v>
      </c>
      <c r="G8" s="8" t="inlineStr"/>
      <c r="H8" s="7" t="inlineStr"/>
      <c r="I8" s="9" t="inlineStr"/>
    </row>
    <row r="9" ht="26" customHeight="1">
      <c r="A9" s="6" t="n">
        <v>7</v>
      </c>
      <c r="B9" s="4" t="inlineStr">
        <is>
          <t>B 横断比較</t>
        </is>
      </c>
      <c r="C9" s="4" t="inlineStr">
        <is>
          <t>明細カテゴリグループの用途を言える</t>
        </is>
      </c>
      <c r="D9" s="6" t="inlineStr">
        <is>
          <t>compare.html</t>
        </is>
      </c>
      <c r="E9" s="4" t="inlineStr">
        <is>
          <t>0001 / 0002 / 0004 / ERLA / DIEN を、業務との結び付きで説明できる</t>
        </is>
      </c>
      <c r="F9" s="6" t="n">
        <v>15</v>
      </c>
      <c r="G9" s="6" t="inlineStr"/>
      <c r="H9" s="7" t="inlineStr"/>
      <c r="I9" s="4" t="inlineStr"/>
    </row>
    <row r="10" ht="39" customHeight="1">
      <c r="A10" s="8" t="n">
        <v>8</v>
      </c>
      <c r="B10" s="9" t="inlineStr">
        <is>
          <t>B 横断比較</t>
        </is>
      </c>
      <c r="C10" s="9" t="inlineStr">
        <is>
          <t>E と Q の 4 点セットを暗唱できる</t>
        </is>
      </c>
      <c r="D10" s="8" t="inlineStr">
        <is>
          <t>compare.html</t>
        </is>
      </c>
      <c r="E10" s="9" t="inlineStr">
        <is>
          <t>E: MRP4 個別所要量・所要量クラス・明細カテゴリの特別在庫 E・戦略グループ / Q: 評価付プロジェクト在庫・MRP4 個別所要量・戦略グループ（評価区分 M）・受注明細の WBS</t>
        </is>
      </c>
      <c r="F10" s="8" t="n">
        <v>15</v>
      </c>
      <c r="G10" s="8" t="inlineStr"/>
      <c r="H10" s="7" t="inlineStr"/>
      <c r="I10" s="9" t="inlineStr"/>
    </row>
    <row r="11" ht="26" customHeight="1">
      <c r="A11" s="6" t="n">
        <v>9</v>
      </c>
      <c r="B11" s="4" t="inlineStr">
        <is>
          <t>B 横断比較</t>
        </is>
      </c>
      <c r="C11" s="4" t="inlineStr">
        <is>
          <t>設定を取り違えたときの症状を言える</t>
        </is>
      </c>
      <c r="D11" s="6" t="inlineStr">
        <is>
          <t>compare.html</t>
        </is>
      </c>
      <c r="E11" s="4" t="inlineStr">
        <is>
          <t>明細カテゴリの設定ミス / 評価付フラグ漏れ / 戦略グループの不一致 の 3 症状を、確認手顺付きで説明できる</t>
        </is>
      </c>
      <c r="F11" s="6" t="n">
        <v>15</v>
      </c>
      <c r="G11" s="6" t="inlineStr"/>
      <c r="H11" s="7" t="inlineStr"/>
      <c r="I11" s="4" t="inlineStr"/>
    </row>
    <row r="12" ht="18" customHeight="1">
      <c r="A12" s="8" t="n">
        <v>10</v>
      </c>
      <c r="B12" s="9" t="inlineStr">
        <is>
          <t>C E vs Q 対照実習</t>
        </is>
      </c>
      <c r="C12" s="9" t="inlineStr">
        <is>
          <t>STEP 対照表（0〜12）を通読した</t>
        </is>
      </c>
      <c r="D12" s="8" t="inlineStr">
        <is>
          <t>scenario-eq.html</t>
        </is>
      </c>
      <c r="E12" s="9" t="inlineStr">
        <is>
          <t>計画手配・101 の入庫先・月末処理・帳票の 4 点で差が出る、と自分の言葉でまとめた</t>
        </is>
      </c>
      <c r="F12" s="8" t="n">
        <v>15</v>
      </c>
      <c r="G12" s="8" t="inlineStr"/>
      <c r="H12" s="7" t="inlineStr"/>
      <c r="I12" s="9" t="inlineStr"/>
    </row>
    <row r="13" ht="26" customHeight="1">
      <c r="A13" s="6" t="n">
        <v>11</v>
      </c>
      <c r="B13" s="4" t="inlineStr">
        <is>
          <t>C E vs Q 対照実習</t>
        </is>
      </c>
      <c r="C13" s="4" t="inlineStr">
        <is>
          <t>一致点を 6 つ挙げられる</t>
        </is>
      </c>
      <c r="D13" s="6" t="inlineStr">
        <is>
          <t>scenario-eq.html</t>
        </is>
      </c>
      <c r="E13" s="4" t="inlineStr">
        <is>
          <t>操作系（VA01 / MD04 / VL01N / VF01 / 261・101・601）はほぼ同一、と説明できる</t>
        </is>
      </c>
      <c r="F13" s="6" t="n">
        <v>15</v>
      </c>
      <c r="G13" s="6" t="inlineStr"/>
      <c r="H13" s="7" t="inlineStr"/>
      <c r="I13" s="4" t="inlineStr"/>
    </row>
    <row r="14" ht="18" customHeight="1">
      <c r="A14" s="8" t="n">
        <v>12</v>
      </c>
      <c r="B14" s="9" t="inlineStr">
        <is>
          <t>C E vs Q 対照実習</t>
        </is>
      </c>
      <c r="C14" s="9" t="inlineStr">
        <is>
          <t>判別演習 8 問を解いた</t>
        </is>
      </c>
      <c r="D14" s="8" t="inlineStr">
        <is>
          <t>scenario-eq.html</t>
        </is>
      </c>
      <c r="E14" s="9" t="inlineStr">
        <is>
          <t>解答と根拠（なぜそう判断したか）を講師の前で言えた</t>
        </is>
      </c>
      <c r="F14" s="8" t="n">
        <v>15</v>
      </c>
      <c r="G14" s="8" t="inlineStr"/>
      <c r="H14" s="7" t="inlineStr"/>
      <c r="I14" s="9" t="inlineStr"/>
    </row>
    <row r="15" ht="18" customHeight="1">
      <c r="A15" s="6" t="n">
        <v>13</v>
      </c>
      <c r="B15" s="4" t="inlineStr">
        <is>
          <t>C E vs Q 対照実習</t>
        </is>
      </c>
      <c r="C15" s="4" t="inlineStr">
        <is>
          <t>30 分×2 の最小実機を 1 回ずつ走らせた</t>
        </is>
      </c>
      <c r="D15" s="6" t="inlineStr">
        <is>
          <t>scenario-eq.html</t>
        </is>
      </c>
      <c r="E15" s="4" t="inlineStr">
        <is>
          <t>E と Q の両方で、入庫先の在庫テーブルが違うことを画面で確認した（任意だが強く推奨）</t>
        </is>
      </c>
      <c r="F15" s="6" t="n">
        <v>15</v>
      </c>
      <c r="G15" s="6" t="inlineStr"/>
      <c r="H15" s="7" t="inlineStr"/>
      <c r="I15" s="4" t="inlineStr"/>
    </row>
    <row r="16" ht="18" customHeight="1">
      <c r="A16" s="8" t="n">
        <v>14</v>
      </c>
      <c r="B16" s="9" t="inlineStr">
        <is>
          <t>D VC 概観</t>
        </is>
      </c>
      <c r="C16" s="9" t="inlineStr">
        <is>
          <t>VC が「生産形態ではなく構成エンジン」であると説明できる</t>
        </is>
      </c>
      <c r="D16" s="8" t="inlineStr">
        <is>
          <t>vc.html</t>
        </is>
      </c>
      <c r="E16" s="9" t="inlineStr">
        <is>
          <t>在庫区分と戦略は別途決める（VC × 25 / 82 / ETO）と説明できる</t>
        </is>
      </c>
      <c r="F16" s="8" t="n">
        <v>15</v>
      </c>
      <c r="G16" s="8" t="inlineStr"/>
      <c r="H16" s="7" t="inlineStr"/>
      <c r="I16" s="9" t="inlineStr"/>
    </row>
    <row r="17" ht="26" customHeight="1">
      <c r="A17" s="6" t="n">
        <v>15</v>
      </c>
      <c r="B17" s="4" t="inlineStr">
        <is>
          <t>D VC 概観</t>
        </is>
      </c>
      <c r="C17" s="4" t="inlineStr">
        <is>
          <t>VC の構成要素 6 つを言える</t>
        </is>
      </c>
      <c r="D17" s="6" t="inlineStr">
        <is>
          <t>vc.html</t>
        </is>
      </c>
      <c r="E17" s="4" t="inlineStr">
        <is>
          <t>特徴 / クラス / KMAT / 依存関係 / 設定プロファイル / シミュレーション と、その T-code</t>
        </is>
      </c>
      <c r="F17" s="6" t="n">
        <v>15</v>
      </c>
      <c r="G17" s="6" t="inlineStr"/>
      <c r="H17" s="7" t="inlineStr"/>
      <c r="I17" s="4" t="inlineStr"/>
    </row>
    <row r="18" ht="26" customHeight="1">
      <c r="A18" s="8" t="n">
        <v>16</v>
      </c>
      <c r="B18" s="9" t="inlineStr">
        <is>
          <t>D VC 概観</t>
        </is>
      </c>
      <c r="C18" s="9" t="inlineStr">
        <is>
          <t>典型故障 7 項を、症状から原因を引ける</t>
        </is>
      </c>
      <c r="D18" s="8" t="inlineStr">
        <is>
          <t>vc.html</t>
        </is>
      </c>
      <c r="E18" s="9" t="inlineStr">
        <is>
          <t>構成が出ない / BOM が切り替わらない / 変種価格が出ない などを、確認 T-code 付きで説明できる</t>
        </is>
      </c>
      <c r="F18" s="8" t="n">
        <v>15</v>
      </c>
      <c r="G18" s="8" t="inlineStr"/>
      <c r="H18" s="7" t="inlineStr"/>
      <c r="I18" s="9" t="inlineStr"/>
    </row>
    <row r="19" ht="18" customHeight="1">
      <c r="A19" s="6" t="n">
        <v>17</v>
      </c>
      <c r="B19" s="4" t="inlineStr">
        <is>
          <t>I 受講者版</t>
        </is>
      </c>
      <c r="C19" s="4" t="inlineStr">
        <is>
          <t>ワークシート（worksheet.html）を埋める</t>
        </is>
      </c>
      <c r="D19" s="6" t="inlineStr">
        <is>
          <t>worksheet.html</t>
        </is>
      </c>
      <c r="E19" s="4" t="inlineStr">
        <is>
          <t>各シートを記入し、伝票番号・数値・故障記録が揃った</t>
        </is>
      </c>
      <c r="F19" s="6" t="n">
        <v>60</v>
      </c>
      <c r="G19" s="6" t="inlineStr"/>
      <c r="H19" s="7" t="inlineStr"/>
      <c r="I19" s="4" t="inlineStr"/>
    </row>
    <row r="20" ht="18" customHeight="1">
      <c r="A20" s="8" t="n">
        <v>18</v>
      </c>
      <c r="B20" s="9" t="inlineStr">
        <is>
          <t>J テスト</t>
        </is>
      </c>
      <c r="C20" s="9" t="inlineStr">
        <is>
          <t>能力测试（quiz.html）を受験する</t>
        </is>
      </c>
      <c r="D20" s="8" t="inlineStr">
        <is>
          <t>quiz.html</t>
        </is>
      </c>
      <c r="E20" s="9" t="inlineStr">
        <is>
          <t>合格ライン（75%）以上を取得した</t>
        </is>
      </c>
      <c r="F20" s="8" t="n">
        <v>30</v>
      </c>
      <c r="G20" s="8" t="inlineStr"/>
      <c r="H20" s="7" t="inlineStr"/>
      <c r="I20" s="9" t="inlineStr"/>
    </row>
    <row r="21" ht="18" customHeight="1">
      <c r="A21" s="6" t="n">
        <v>19</v>
      </c>
      <c r="B21" s="4" t="inlineStr">
        <is>
          <t>J テスト</t>
        </is>
      </c>
      <c r="C21" s="4" t="inlineStr">
        <is>
          <t>修了チェック（到達点）を通す</t>
        </is>
      </c>
      <c r="D21" s="6" t="inlineStr">
        <is>
          <t>quiz.html</t>
        </is>
      </c>
      <c r="E21" s="4" t="inlineStr">
        <is>
          <t>修了チェックリストの全項目にチェックが付いた</t>
        </is>
      </c>
      <c r="F21" s="6" t="n">
        <v>30</v>
      </c>
      <c r="G21" s="6" t="inlineStr"/>
      <c r="H21" s="7" t="inlineStr"/>
      <c r="I21" s="4" t="inlineStr"/>
    </row>
  </sheetData>
  <autoFilter ref="A2:I21"/>
  <mergeCells count="1">
    <mergeCell ref="A1:I1"/>
  </mergeCells>
  <dataValidations count="1">
    <dataValidation sqref="H3:H21" showDropDown="0" showInputMessage="0" showErrorMessage="0" allowBlank="1" error="○ / △ / × のいずれかを入力してください" promptTitle="自己判定" prompt="○ = できた / △ = 一部 / × = できない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 ht="26" customHeight="1">
      <c r="A1" s="1" t="inlineStr">
        <is>
          <t>進捗サマリ（1_学習WBS の自己判定から自動集計）</t>
        </is>
      </c>
    </row>
    <row r="2">
      <c r="A2" s="5" t="inlineStr">
        <is>
          <t>フェーズ</t>
        </is>
      </c>
      <c r="B2" s="5" t="inlineStr">
        <is>
          <t>タスク数</t>
        </is>
      </c>
      <c r="C2" s="5" t="inlineStr">
        <is>
          <t>○</t>
        </is>
      </c>
      <c r="D2" s="5" t="inlineStr">
        <is>
          <t>△</t>
        </is>
      </c>
      <c r="E2" s="5" t="inlineStr">
        <is>
          <t>×</t>
        </is>
      </c>
      <c r="F2" s="5" t="inlineStr">
        <is>
          <t>完了率</t>
        </is>
      </c>
    </row>
    <row r="3">
      <c r="A3" s="4" t="inlineStr">
        <is>
          <t>A 総覧</t>
        </is>
      </c>
      <c r="B3" s="6">
        <f>COUNTIF('1_学習WBS'!$B$3:$B$21,$A3)</f>
        <v/>
      </c>
      <c r="C3" s="6">
        <f>COUNTIFS('1_学習WBS'!$B$3:$B$21,$A3,'1_学習WBS'!$H$3:$H$21,"○")</f>
        <v/>
      </c>
      <c r="D3" s="6">
        <f>COUNTIFS('1_学習WBS'!$B$3:$B$21,$A3,'1_学習WBS'!$H$3:$H$21,"△")</f>
        <v/>
      </c>
      <c r="E3" s="6">
        <f>COUNTIFS('1_学習WBS'!$B$3:$B$21,$A3,'1_学習WBS'!$H$3:$H$21,"×")</f>
        <v/>
      </c>
      <c r="F3" s="10">
        <f>IF(B3=0,"",ROUND(C3/B3*100,0)&amp;" %")</f>
        <v/>
      </c>
    </row>
    <row r="4">
      <c r="A4" s="4" t="inlineStr">
        <is>
          <t>B 横断比較</t>
        </is>
      </c>
      <c r="B4" s="6">
        <f>COUNTIF('1_学習WBS'!$B$3:$B$21,$A4)</f>
        <v/>
      </c>
      <c r="C4" s="6">
        <f>COUNTIFS('1_学習WBS'!$B$3:$B$21,$A4,'1_学習WBS'!$H$3:$H$21,"○")</f>
        <v/>
      </c>
      <c r="D4" s="6">
        <f>COUNTIFS('1_学習WBS'!$B$3:$B$21,$A4,'1_学習WBS'!$H$3:$H$21,"△")</f>
        <v/>
      </c>
      <c r="E4" s="6">
        <f>COUNTIFS('1_学習WBS'!$B$3:$B$21,$A4,'1_学習WBS'!$H$3:$H$21,"×")</f>
        <v/>
      </c>
      <c r="F4" s="10">
        <f>IF(B4=0,"",ROUND(C4/B4*100,0)&amp;" %")</f>
        <v/>
      </c>
    </row>
    <row r="5">
      <c r="A5" s="4" t="inlineStr">
        <is>
          <t>C E vs Q 対照実習</t>
        </is>
      </c>
      <c r="B5" s="6">
        <f>COUNTIF('1_学習WBS'!$B$3:$B$21,$A5)</f>
        <v/>
      </c>
      <c r="C5" s="6">
        <f>COUNTIFS('1_学習WBS'!$B$3:$B$21,$A5,'1_学習WBS'!$H$3:$H$21,"○")</f>
        <v/>
      </c>
      <c r="D5" s="6">
        <f>COUNTIFS('1_学習WBS'!$B$3:$B$21,$A5,'1_学習WBS'!$H$3:$H$21,"△")</f>
        <v/>
      </c>
      <c r="E5" s="6">
        <f>COUNTIFS('1_学習WBS'!$B$3:$B$21,$A5,'1_学習WBS'!$H$3:$H$21,"×")</f>
        <v/>
      </c>
      <c r="F5" s="10">
        <f>IF(B5=0,"",ROUND(C5/B5*100,0)&amp;" %")</f>
        <v/>
      </c>
    </row>
    <row r="6">
      <c r="A6" s="4" t="inlineStr">
        <is>
          <t>D VC 概観</t>
        </is>
      </c>
      <c r="B6" s="6">
        <f>COUNTIF('1_学習WBS'!$B$3:$B$21,$A6)</f>
        <v/>
      </c>
      <c r="C6" s="6">
        <f>COUNTIFS('1_学習WBS'!$B$3:$B$21,$A6,'1_学習WBS'!$H$3:$H$21,"○")</f>
        <v/>
      </c>
      <c r="D6" s="6">
        <f>COUNTIFS('1_学習WBS'!$B$3:$B$21,$A6,'1_学習WBS'!$H$3:$H$21,"△")</f>
        <v/>
      </c>
      <c r="E6" s="6">
        <f>COUNTIFS('1_学習WBS'!$B$3:$B$21,$A6,'1_学習WBS'!$H$3:$H$21,"×")</f>
        <v/>
      </c>
      <c r="F6" s="10">
        <f>IF(B6=0,"",ROUND(C6/B6*100,0)&amp;" %")</f>
        <v/>
      </c>
    </row>
    <row r="7">
      <c r="A7" s="4" t="inlineStr">
        <is>
          <t>I 受講者版</t>
        </is>
      </c>
      <c r="B7" s="6">
        <f>COUNTIF('1_学習WBS'!$B$3:$B$21,$A7)</f>
        <v/>
      </c>
      <c r="C7" s="6">
        <f>COUNTIFS('1_学習WBS'!$B$3:$B$21,$A7,'1_学習WBS'!$H$3:$H$21,"○")</f>
        <v/>
      </c>
      <c r="D7" s="6">
        <f>COUNTIFS('1_学習WBS'!$B$3:$B$21,$A7,'1_学習WBS'!$H$3:$H$21,"△")</f>
        <v/>
      </c>
      <c r="E7" s="6">
        <f>COUNTIFS('1_学習WBS'!$B$3:$B$21,$A7,'1_学習WBS'!$H$3:$H$21,"×")</f>
        <v/>
      </c>
      <c r="F7" s="10">
        <f>IF(B7=0,"",ROUND(C7/B7*100,0)&amp;" %")</f>
        <v/>
      </c>
    </row>
    <row r="8">
      <c r="A8" s="4" t="inlineStr">
        <is>
          <t>J テスト</t>
        </is>
      </c>
      <c r="B8" s="6">
        <f>COUNTIF('1_学習WBS'!$B$3:$B$21,$A8)</f>
        <v/>
      </c>
      <c r="C8" s="6">
        <f>COUNTIFS('1_学習WBS'!$B$3:$B$21,$A8,'1_学習WBS'!$H$3:$H$21,"○")</f>
        <v/>
      </c>
      <c r="D8" s="6">
        <f>COUNTIFS('1_学習WBS'!$B$3:$B$21,$A8,'1_学習WBS'!$H$3:$H$21,"△")</f>
        <v/>
      </c>
      <c r="E8" s="6">
        <f>COUNTIFS('1_学習WBS'!$B$3:$B$21,$A8,'1_学習WBS'!$H$3:$H$21,"×")</f>
        <v/>
      </c>
      <c r="F8" s="10">
        <f>IF(B8=0,"",ROUND(C8/B8*100,0)&amp;" %")</f>
        <v/>
      </c>
    </row>
    <row r="9">
      <c r="A9" s="11" t="inlineStr">
        <is>
          <t>合計 / 全体</t>
        </is>
      </c>
      <c r="B9" s="12">
        <f>SUM(B3:B8)</f>
        <v/>
      </c>
      <c r="C9" s="12">
        <f>SUM(C3:C8)</f>
        <v/>
      </c>
      <c r="D9" s="12">
        <f>SUM(D3:D8)</f>
        <v/>
      </c>
      <c r="E9" s="12">
        <f>SUM(E3:E8)</f>
        <v/>
      </c>
      <c r="F9" s="12">
        <f>IF(B9=0,"",ROUND(C9/B9*100,0)&amp;" %")</f>
        <v/>
      </c>
    </row>
    <row r="11">
      <c r="A11" s="13" t="inlineStr">
        <is>
          <t>実施合計時間（分）</t>
        </is>
      </c>
      <c r="B11" s="14">
        <f>SUM('1_学習WBS'!$F$3:$F$21)</f>
        <v/>
      </c>
    </row>
    <row r="12">
      <c r="A12" s="13" t="inlineStr">
        <is>
          <t>○ のみの合計時間（分）</t>
        </is>
      </c>
      <c r="B12" s="14">
        <f>SUMIFS('1_学習WBS'!$F$3:$F$21,'1_学習WBS'!$H$3:$H$21,"○")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0" customWidth="1" min="4" max="4"/>
    <col width="12" customWidth="1" min="5" max="5"/>
    <col width="34" customWidth="1" min="6" max="6"/>
  </cols>
  <sheetData>
    <row r="1" ht="26" customHeight="1">
      <c r="A1" s="1" t="inlineStr">
        <is>
          <t>実機記録（伝票番号・数値・証跡）— 講師の確認対象</t>
        </is>
      </c>
    </row>
    <row r="2">
      <c r="A2" s="5" t="inlineStr">
        <is>
          <t>#</t>
        </is>
      </c>
      <c r="B2" s="5" t="inlineStr">
        <is>
          <t>記録項目</t>
        </is>
      </c>
      <c r="C2" s="5" t="inlineStr">
        <is>
          <t>期待値・見方</t>
        </is>
      </c>
      <c r="D2" s="5" t="inlineStr">
        <is>
          <t>実測値 / 伝票番号</t>
        </is>
      </c>
      <c r="E2" s="5" t="inlineStr">
        <is>
          <t>実施日</t>
        </is>
      </c>
      <c r="F2" s="5" t="inlineStr">
        <is>
          <t>証跡メモ</t>
        </is>
      </c>
    </row>
    <row r="3" ht="22" customHeight="1">
      <c r="A3" s="6" t="n">
        <v>1</v>
      </c>
      <c r="B3" s="4" t="inlineStr">
        <is>
          <t>MTO を走らせた証跡（受注番号）</t>
        </is>
      </c>
      <c r="C3" s="4" t="inlineStr">
        <is>
          <t>在庫区分 E・MSKA に行があること</t>
        </is>
      </c>
      <c r="D3" s="15" t="n"/>
      <c r="E3" s="16" t="n"/>
      <c r="F3" s="15" t="n"/>
    </row>
    <row r="4" ht="22" customHeight="1">
      <c r="A4" s="6" t="n">
        <v>2</v>
      </c>
      <c r="B4" s="4" t="inlineStr">
        <is>
          <t>ETO を走らせた証跡（プロジェクト定義）</t>
        </is>
      </c>
      <c r="C4" s="4" t="inlineStr">
        <is>
          <t>在庫区分 Q・MSPR に行があること</t>
        </is>
      </c>
      <c r="D4" s="15" t="n"/>
      <c r="E4" s="16" t="n"/>
      <c r="F4" s="15" t="n"/>
    </row>
    <row r="5" ht="22" customHeight="1">
      <c r="A5" s="6" t="n">
        <v>3</v>
      </c>
      <c r="B5" s="4" t="inlineStr">
        <is>
          <t>両方の入庫（101）の比較メモ</t>
        </is>
      </c>
      <c r="C5" s="4" t="inlineStr">
        <is>
          <t>101 の後、在庫がどこに入ったか（MSKA と MSPR）</t>
        </is>
      </c>
      <c r="D5" s="15" t="n"/>
      <c r="E5" s="16" t="n"/>
      <c r="F5" s="15" t="n"/>
    </row>
    <row r="6" ht="22" customHeight="1">
      <c r="A6" s="6" t="n">
        <v>4</v>
      </c>
      <c r="B6" s="4" t="inlineStr">
        <is>
          <t>判別演習 8 問のスコア</t>
        </is>
      </c>
      <c r="C6" s="4" t="inlineStr">
        <is>
          <t>8 問中 ___ 問</t>
        </is>
      </c>
      <c r="D6" s="15" t="n"/>
      <c r="E6" s="16" t="n"/>
      <c r="F6" s="15" t="n"/>
    </row>
    <row r="7" ht="22" customHeight="1">
      <c r="A7" s="6" t="n">
        <v>5</v>
      </c>
      <c r="B7" s="4" t="inlineStr">
        <is>
          <t>能力测试 20 題のスコア</t>
        </is>
      </c>
      <c r="C7" s="4" t="inlineStr">
        <is>
          <t>20 題中 15 問以上（75%）</t>
        </is>
      </c>
      <c r="D7" s="15" t="n"/>
      <c r="E7" s="16" t="n"/>
      <c r="F7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 ht="26" customHeight="1">
      <c r="A1" s="1" t="inlineStr">
        <is>
          <t>修了判定（到達点チェックと講師確認）</t>
        </is>
      </c>
    </row>
    <row r="2">
      <c r="A2" s="5" t="inlineStr">
        <is>
          <t>#</t>
        </is>
      </c>
      <c r="B2" s="5" t="inlineStr">
        <is>
          <t>到達点（これが言えたら本教材は修了）</t>
        </is>
      </c>
      <c r="C2" s="5" t="inlineStr">
        <is>
          <t>チェック</t>
        </is>
      </c>
    </row>
    <row r="3" ht="20" customHeight="1">
      <c r="A3" s="6" t="n">
        <v>1</v>
      </c>
      <c r="B3" s="4" t="inlineStr">
        <is>
          <t>5 形態を「計画起点・库存区分・成本対象・請求方式」で言い分けられる</t>
        </is>
      </c>
      <c r="C3" s="16" t="inlineStr"/>
    </row>
    <row r="4" ht="20" customHeight="1">
      <c r="A4" s="6" t="n">
        <v>2</v>
      </c>
      <c r="B4" s="4" t="inlineStr">
        <is>
          <t>E の 4 点セットと Q の 4 点セットを、資料を見ずに言える</t>
        </is>
      </c>
      <c r="C4" s="16" t="inlineStr"/>
    </row>
    <row r="5" ht="20" customHeight="1">
      <c r="A5" s="6" t="n">
        <v>3</v>
      </c>
      <c r="B5" s="4" t="inlineStr">
        <is>
          <t>在庫テーブル（MARD / MSKA / MSPR）を即答できる</t>
        </is>
      </c>
      <c r="C5" s="16" t="inlineStr"/>
    </row>
    <row r="6" ht="20" customHeight="1">
      <c r="A6" s="6" t="n">
        <v>4</v>
      </c>
      <c r="B6" s="4" t="inlineStr">
        <is>
          <t>「CJI3 に収益が出ない」「入庫が自由在庫に入る」を 2 分で切り分けられる</t>
        </is>
      </c>
      <c r="C6" s="16" t="inlineStr"/>
    </row>
    <row r="7" ht="20" customHeight="1">
      <c r="A7" s="6" t="n">
        <v>5</v>
      </c>
      <c r="B7" s="4" t="inlineStr">
        <is>
          <t>VC が「生産形態ではなく構成エンジン」であることを説明できる</t>
        </is>
      </c>
      <c r="C7" s="16" t="inlineStr"/>
    </row>
    <row r="8" ht="20" customHeight="1">
      <c r="A8" s="6" t="n">
        <v>6</v>
      </c>
      <c r="B8" s="4" t="inlineStr">
        <is>
          <t>能力测试（quiz.html）で 75% 以上（20 題中 15 問以上）</t>
        </is>
      </c>
      <c r="C8" s="16" t="inlineStr"/>
    </row>
    <row r="10" ht="34" customHeight="1">
      <c r="A10" s="3" t="inlineStr">
        <is>
          <t>再受講が必要な分野（△ × のあったフェーズ）</t>
        </is>
      </c>
      <c r="B10" s="17" t="inlineStr"/>
    </row>
    <row r="11" ht="34" customHeight="1">
      <c r="A11" s="3" t="inlineStr">
        <is>
          <t>講師所見</t>
        </is>
      </c>
      <c r="B11" s="17" t="inlineStr"/>
    </row>
    <row r="12" ht="34" customHeight="1">
      <c r="A12" s="3" t="inlineStr">
        <is>
          <t>実施日 / 講師署名</t>
        </is>
      </c>
      <c r="B12" s="17" t="inlineStr"/>
    </row>
  </sheetData>
  <mergeCells count="4">
    <mergeCell ref="A1:C1"/>
    <mergeCell ref="B11:C11"/>
    <mergeCell ref="B10:C10"/>
    <mergeCell ref="B12:C12"/>
  </mergeCells>
  <dataValidations count="1">
    <dataValidation sqref="C3:C8" showDropDown="0" showInputMessage="0" showErrorMessage="0" allowBlank="1" type="list">
      <formula1>"✓,,—"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2026-09-12T14:10:55Z</dcterms:created>
  <dcterms:modified xsi:type="dcterms:W3CDTF">2026-09-12T14:10:55Z</dcterms:modified>
</cp:coreProperties>
</file>