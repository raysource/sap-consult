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進め方" sheetId="1" state="visible" r:id="rId1"/>
    <sheet name="1_学習WBS" sheetId="2" state="visible" r:id="rId2"/>
    <sheet name="2_進捗サマリ" sheetId="3" state="visible" r:id="rId3"/>
    <sheet name="3_実機記録" sheetId="4" state="visible" r:id="rId4"/>
    <sheet name="4_修了判定" sheetId="5" state="visible" r:id="rId5"/>
  </sheets>
  <definedNames>
    <definedName name="_xlnm._FilterDatabase" localSheetId="1" hidden="1">'1_学習WBS'!$A$2:$I$89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  <font>
      <name val="微软雅黑"/>
      <b val="1"/>
      <color rgb="001D2D3E"/>
      <sz val="10"/>
    </font>
  </fonts>
  <fills count="6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8F5E9"/>
      </patternFill>
    </fill>
    <fill>
      <patternFill patternType="solid">
        <fgColor rgb="00F2F4F7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6" customHeight="1">
      <c r="A1" s="1" t="inlineStr">
        <is>
          <t>学習WBS（受講者版）— 受注設計生産（ETO）</t>
        </is>
      </c>
    </row>
    <row r="2">
      <c r="A2" s="2" t="inlineStr">
        <is>
          <t>SAP S/4HANA 業務実践トレーニング / 記入式の進捗管理ワークブック（サイト版と同期）</t>
        </is>
      </c>
    </row>
    <row r="3" ht="39" customHeight="1">
      <c r="A3" s="3" t="inlineStr">
        <is>
          <t>本ワークブックの使い方</t>
        </is>
      </c>
      <c r="B3" s="4" t="inlineStr">
        <is>
          <t>MTO（sapmto）を先に終えてから着手してください。ETO は「案件の器（WBS）」を先に作り、受注・需要・原価・収益をそこへ集める設計です。各タスクの「完成基準」を満たしたら自己判定に ○ を入れ、○ の数は「2_進捗サマリ」に自動集計されます。</t>
        </is>
      </c>
    </row>
    <row r="4" ht="26" customHeight="1">
      <c r="A4" s="3" t="inlineStr">
        <is>
          <t>目安時間</t>
        </is>
      </c>
      <c r="B4" s="4" t="inlineStr">
        <is>
          <t>配置（C0〜C16）＋練習①〜⑤で「講義 1 日 ＋ 実機 2〜3 日」程度。月末処理（進捗 → 結果分析 → 決済）は特に時間がかかります。</t>
        </is>
      </c>
    </row>
    <row r="5" ht="39" customHeight="1">
      <c r="A5" s="3" t="inlineStr">
        <is>
          <t>特に注意</t>
        </is>
      </c>
      <c r="B5" s="4" t="inlineStr">
        <is>
          <t>プロジェクト在庫 Q が成立していないと、以降のすべて（入庫先・評価・決済・帳票）が崩れます。まず「4 点セット」——① 評価付プロジェクト在庫 ② MRP4 個別所要量 ③ 戦略グループ（評価区分 M）④ 受注明細の WBS ——を揃えてください。</t>
        </is>
      </c>
    </row>
    <row r="7">
      <c r="A7" s="3" t="inlineStr">
        <is>
          <t>凡例</t>
        </is>
      </c>
      <c r="B7" s="4" t="inlineStr">
        <is>
          <t>○ ＝ できた（完成基準を満たした）／△ ＝ 一部できた（要確認）／× ＝ できなかった。「2_進捗サマリ」にフェーズ別の完了率が自動計算されます。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2" customWidth="1" min="4" max="4"/>
    <col width="62" customWidth="1" min="5" max="5"/>
    <col width="9" customWidth="1" min="6" max="6"/>
    <col width="12" customWidth="1" min="7" max="7"/>
    <col width="10" customWidth="1" min="8" max="8"/>
    <col width="30" customWidth="1" min="9" max="9"/>
  </cols>
  <sheetData>
    <row r="1" ht="26" customHeight="1">
      <c r="A1" s="1" t="inlineStr">
        <is>
          <t>学習WBS — 受注設計生産（ETO）（上から順に実施）</t>
        </is>
      </c>
    </row>
    <row r="2" ht="24" customHeight="1">
      <c r="A2" s="5" t="inlineStr">
        <is>
          <t>#</t>
        </is>
      </c>
      <c r="B2" s="5" t="inlineStr">
        <is>
          <t>フェーズ</t>
        </is>
      </c>
      <c r="C2" s="5" t="inlineStr">
        <is>
          <t>タスク</t>
        </is>
      </c>
      <c r="D2" s="5" t="inlineStr">
        <is>
          <t>参照ページ</t>
        </is>
      </c>
      <c r="E2" s="5" t="inlineStr">
        <is>
          <t>完成基準（ここを満たしたら ○）</t>
        </is>
      </c>
      <c r="F2" s="5" t="inlineStr">
        <is>
          <t>目安(分)</t>
        </is>
      </c>
      <c r="G2" s="5" t="inlineStr">
        <is>
          <t>実施日</t>
        </is>
      </c>
      <c r="H2" s="5" t="inlineStr">
        <is>
          <t>自己判定</t>
        </is>
      </c>
      <c r="I2" s="5" t="inlineStr">
        <is>
          <t>メモ</t>
        </is>
      </c>
    </row>
    <row r="3" ht="18" customHeight="1">
      <c r="A3" s="6" t="n">
        <v>1</v>
      </c>
      <c r="B3" s="4" t="inlineStr">
        <is>
          <t>A 総覧</t>
        </is>
      </c>
      <c r="C3" s="4" t="inlineStr">
        <is>
          <t>本站の環境と前提を説明できる</t>
        </is>
      </c>
      <c r="D3" s="6" t="inlineStr">
        <is>
          <t>index.html</t>
        </is>
      </c>
      <c r="E3" s="4" t="inlineStr">
        <is>
          <t>プロジェクトプロファイル・WBS の勘定設定・PS の権限が利用可能であることを確認した</t>
        </is>
      </c>
      <c r="F3" s="6" t="n">
        <v>10</v>
      </c>
      <c r="G3" s="6" t="inlineStr"/>
      <c r="H3" s="7" t="inlineStr"/>
      <c r="I3" s="4" t="inlineStr"/>
    </row>
    <row r="4" ht="26" customHeight="1">
      <c r="A4" s="8" t="n">
        <v>2</v>
      </c>
      <c r="B4" s="9" t="inlineStr">
        <is>
          <t>A 総覧</t>
        </is>
      </c>
      <c r="C4" s="9" t="inlineStr">
        <is>
          <t>受注設計生産の流れを白紙に書ける</t>
        </is>
      </c>
      <c r="D4" s="8" t="inlineStr">
        <is>
          <t>index.html</t>
        </is>
      </c>
      <c r="E4" s="9" t="inlineStr">
        <is>
          <t>プロジェクト（WBS）→ 受注（WBS 割当）→ 計画・予算 → MRP → 指図・ネットワーク → 入庫（Q）→ 出荷 → 請求 → 進捗 → 結果分析 → 決済 を順に説明できる</t>
        </is>
      </c>
      <c r="F4" s="8" t="n">
        <v>10</v>
      </c>
      <c r="G4" s="8" t="inlineStr"/>
      <c r="H4" s="7" t="inlineStr"/>
      <c r="I4" s="9" t="inlineStr"/>
    </row>
    <row r="5" ht="26" customHeight="1">
      <c r="A5" s="6" t="n">
        <v>3</v>
      </c>
      <c r="B5" s="4" t="inlineStr">
        <is>
          <t>A 総覧</t>
        </is>
      </c>
      <c r="C5" s="4" t="inlineStr">
        <is>
          <t>E（受注在庫）と Q（プロジェクト在庫）の違いを 4 点で言える</t>
        </is>
      </c>
      <c r="D5" s="6" t="inlineStr">
        <is>
          <t>index.html</t>
        </is>
      </c>
      <c r="E5" s="4" t="inlineStr">
        <is>
          <t>需要の帰属 / 在庫テーブル（MSKA vs MSPR）/ 成本の対象（指図 vs WBS）/ 請求と月末処理</t>
        </is>
      </c>
      <c r="F5" s="6" t="n">
        <v>10</v>
      </c>
      <c r="G5" s="6" t="inlineStr"/>
      <c r="H5" s="7" t="inlineStr"/>
      <c r="I5" s="4" t="inlineStr"/>
    </row>
    <row r="6" ht="39" customHeight="1">
      <c r="A6" s="8" t="n">
        <v>4</v>
      </c>
      <c r="B6" s="9" t="inlineStr">
        <is>
          <t>B 概念と設計</t>
        </is>
      </c>
      <c r="C6" s="9" t="inlineStr">
        <is>
          <t>E と Q の 4 点セットを、それぞれ資料を見ずに言える</t>
        </is>
      </c>
      <c r="D6" s="8" t="inlineStr">
        <is>
          <t>concept.html</t>
        </is>
      </c>
      <c r="E6" s="9" t="inlineStr">
        <is>
          <t>E: MRP4 個別所要量・所要量クラス・明細カテゴリの特別在庫 E・戦略グループ / Q: 評価付プロジェクト在庫・MRP4 個別所要量・戦略グループ（評価区分 M）・受注明細の WBS</t>
        </is>
      </c>
      <c r="F6" s="8" t="n">
        <v>10</v>
      </c>
      <c r="G6" s="8" t="inlineStr"/>
      <c r="H6" s="7" t="inlineStr"/>
      <c r="I6" s="9" t="inlineStr"/>
    </row>
    <row r="7" ht="26" customHeight="1">
      <c r="A7" s="6" t="n">
        <v>5</v>
      </c>
      <c r="B7" s="4" t="inlineStr">
        <is>
          <t>B 概念と設計</t>
        </is>
      </c>
      <c r="C7" s="4" t="inlineStr">
        <is>
          <t>WBS の 3 つの役割を説明できる</t>
        </is>
      </c>
      <c r="D7" s="6" t="inlineStr">
        <is>
          <t>concept.html</t>
        </is>
      </c>
      <c r="E7" s="4" t="inlineStr">
        <is>
          <t>構造要素（入れ子）/ 勘定設定要素（原価を受け取る）/ 請求要素（収益を立てる）を、違いを踏まえて説明できる</t>
        </is>
      </c>
      <c r="F7" s="6" t="n">
        <v>10</v>
      </c>
      <c r="G7" s="6" t="inlineStr"/>
      <c r="H7" s="7" t="inlineStr"/>
      <c r="I7" s="4" t="inlineStr"/>
    </row>
    <row r="8" ht="26" customHeight="1">
      <c r="A8" s="8" t="n">
        <v>6</v>
      </c>
      <c r="B8" s="9" t="inlineStr">
        <is>
          <t>B 概念と設計</t>
        </is>
      </c>
      <c r="C8" s="9" t="inlineStr">
        <is>
          <t>プロジェクト在庫 Q の成立条件を説明できる</t>
        </is>
      </c>
      <c r="D8" s="8" t="inlineStr">
        <is>
          <t>concept.html</t>
        </is>
      </c>
      <c r="E8" s="9" t="inlineStr">
        <is>
          <t>SAP Help の「評価付プロジェクト在庫」3 前提と、所要量クラスの評価区分 M の役割を説明できる</t>
        </is>
      </c>
      <c r="F8" s="8" t="n">
        <v>10</v>
      </c>
      <c r="G8" s="8" t="inlineStr"/>
      <c r="H8" s="7" t="inlineStr"/>
      <c r="I8" s="9" t="inlineStr"/>
    </row>
    <row r="9" ht="26" customHeight="1">
      <c r="A9" s="6" t="n">
        <v>7</v>
      </c>
      <c r="B9" s="4" t="inlineStr">
        <is>
          <t>B 概念と設計</t>
        </is>
      </c>
      <c r="C9" s="4" t="inlineStr">
        <is>
          <t>請求方式の選択肢を比較できる</t>
        </is>
      </c>
      <c r="D9" s="6" t="inlineStr">
        <is>
          <t>concept.html</t>
        </is>
      </c>
      <c r="E9" s="4" t="inlineStr">
        <is>
          <t>出荷ベース / 請求計画（日付・出来高）/ マイルストーン請求 / RRB（DP90・DP91）を、契約との対応で説明できる</t>
        </is>
      </c>
      <c r="F9" s="6" t="n">
        <v>10</v>
      </c>
      <c r="G9" s="6" t="inlineStr"/>
      <c r="H9" s="7" t="inlineStr"/>
      <c r="I9" s="4" t="inlineStr"/>
    </row>
    <row r="10" ht="26" customHeight="1">
      <c r="A10" s="8" t="n">
        <v>8</v>
      </c>
      <c r="B10" s="9" t="inlineStr">
        <is>
          <t>B 概念と設計</t>
        </is>
      </c>
      <c r="C10" s="9" t="inlineStr">
        <is>
          <t>月末処理の順序を言える</t>
        </is>
      </c>
      <c r="D10" s="8" t="inlineStr">
        <is>
          <t>concept.html</t>
        </is>
      </c>
      <c r="E10" s="9" t="inlineStr">
        <is>
          <t>進捗 → 結果分析（KKA2/KKAJ）→ WIP（KKAX）→ 決済（CJ88/CJ8G）の順序と、各ステップで何が変わるかを説明できる</t>
        </is>
      </c>
      <c r="F10" s="8" t="n">
        <v>10</v>
      </c>
      <c r="G10" s="8" t="inlineStr"/>
      <c r="H10" s="7" t="inlineStr"/>
      <c r="I10" s="9" t="inlineStr"/>
    </row>
    <row r="11" ht="26" customHeight="1">
      <c r="A11" s="6" t="n">
        <v>9</v>
      </c>
      <c r="B11" s="4" t="inlineStr">
        <is>
          <t>B 概念と設計</t>
        </is>
      </c>
      <c r="C11" s="4" t="inlineStr">
        <is>
          <t>主要テーブルと T-code を対応付けられる</t>
        </is>
      </c>
      <c r="D11" s="6" t="inlineStr">
        <is>
          <t>concept.html</t>
        </is>
      </c>
      <c r="E11" s="4" t="inlineStr">
        <is>
          <t>PROJ / PRPS / AUFK / AFPO / MSPR / COEP / VBFA と、CJ20N / CJI3 / CJ31 / CJIC / KKA2 の対応</t>
        </is>
      </c>
      <c r="F11" s="6" t="n">
        <v>10</v>
      </c>
      <c r="G11" s="6" t="inlineStr"/>
      <c r="H11" s="7" t="inlineStr"/>
      <c r="I11" s="4" t="inlineStr"/>
    </row>
    <row r="12" ht="26" customHeight="1">
      <c r="A12" s="8" t="n">
        <v>10</v>
      </c>
      <c r="B12" s="9" t="inlineStr">
        <is>
          <t>C 配置（SPRO / マスタ）</t>
        </is>
      </c>
      <c r="C12" s="9" t="inlineStr">
        <is>
          <t>前提与环境确认</t>
        </is>
      </c>
      <c r="D12" s="8" t="inlineStr">
        <is>
          <t>config.html#c0</t>
        </is>
      </c>
      <c r="E12" s="9" t="inlineStr">
        <is>
          <t>确认（自系统）CJ20N でプロジェクトを新規作成でき（保存しなくても可）、WBS の ID がエラーなく採番されれば前提 OK。</t>
        </is>
      </c>
      <c r="F12" s="8" t="n">
        <v>15</v>
      </c>
      <c r="G12" s="8" t="inlineStr"/>
      <c r="H12" s="7" t="inlineStr"/>
      <c r="I12" s="9" t="inlineStr"/>
    </row>
    <row r="13" ht="18" customHeight="1">
      <c r="A13" s="6" t="n">
        <v>11</v>
      </c>
      <c r="B13" s="4" t="inlineStr">
        <is>
          <t>C 配置（SPRO / マスタ）</t>
        </is>
      </c>
      <c r="C13" s="4" t="inlineStr">
        <is>
          <t>部品品目（ZETO-RM01 / ZETO-RM02）</t>
        </is>
      </c>
      <c r="D13" s="6" t="inlineStr">
        <is>
          <t>config.html#c1</t>
        </is>
      </c>
      <c r="E13" s="4" t="inlineStr">
        <is>
          <t>确认（自系统）MMBE で RM01 100 PC、RM02 500 PC（非制限使用）。</t>
        </is>
      </c>
      <c r="F13" s="6" t="n">
        <v>15</v>
      </c>
      <c r="G13" s="6" t="inlineStr"/>
      <c r="H13" s="7" t="inlineStr"/>
      <c r="I13" s="4" t="inlineStr"/>
    </row>
    <row r="14" ht="39" customHeight="1">
      <c r="A14" s="8" t="n">
        <v>12</v>
      </c>
      <c r="B14" s="9" t="inlineStr">
        <is>
          <t>C 配置（SPRO / マスタ）</t>
        </is>
      </c>
      <c r="C14" s="9" t="inlineStr">
        <is>
          <t>完成品品目 ZETO-FG01（ETO 的核心主数据）</t>
        </is>
      </c>
      <c r="D14" s="8" t="inlineStr">
        <is>
          <t>config.html#c2</t>
        </is>
      </c>
      <c r="E14" s="9" t="inlineStr">
        <is>
          <t>确认（自系统） ① MM03 MRP4 = 個別所要量のみ ② MRP3 の戦略グループを OPPJ/OPPS で展開し、指す所要量クラスを OVZG で開いて 評価区分（M など） と 個別在庫 の設定を確認する。</t>
        </is>
      </c>
      <c r="F14" s="8" t="n">
        <v>15</v>
      </c>
      <c r="G14" s="8" t="inlineStr"/>
      <c r="H14" s="7" t="inlineStr"/>
      <c r="I14" s="9" t="inlineStr"/>
    </row>
    <row r="15" ht="26" customHeight="1">
      <c r="A15" s="6" t="n">
        <v>13</v>
      </c>
      <c r="B15" s="4" t="inlineStr">
        <is>
          <t>C 配置（SPRO / マスタ）</t>
        </is>
      </c>
      <c r="C15" s="4" t="inlineStr">
        <is>
          <t>BOM・作業区・作業手順</t>
        </is>
      </c>
      <c r="D15" s="6" t="inlineStr">
        <is>
          <t>config.html#c3</t>
        </is>
      </c>
      <c r="E15" s="4" t="inlineStr">
        <is>
          <t>确认（自系统）CS03 で BOM（RM01×2・RM02×8）、CA03 で工程 0010 が見える。</t>
        </is>
      </c>
      <c r="F15" s="6" t="n">
        <v>15</v>
      </c>
      <c r="G15" s="6" t="inlineStr"/>
      <c r="H15" s="7" t="inlineStr"/>
      <c r="I15" s="4" t="inlineStr"/>
    </row>
    <row r="16" ht="18" customHeight="1">
      <c r="A16" s="8" t="n">
        <v>14</v>
      </c>
      <c r="B16" s="9" t="inlineStr">
        <is>
          <t>C 配置（SPRO / マスタ）</t>
        </is>
      </c>
      <c r="C16" s="9" t="inlineStr">
        <is>
          <t>価格条件（受注金額）</t>
        </is>
      </c>
      <c r="D16" s="8" t="inlineStr">
        <is>
          <t>config.html#c4</t>
        </is>
      </c>
      <c r="E16" s="9" t="inlineStr">
        <is>
          <t>当該設定を実施し、確認欄（自システムでの確認方法）で期待どおりの結果を確認した</t>
        </is>
      </c>
      <c r="F16" s="8" t="n">
        <v>15</v>
      </c>
      <c r="G16" s="8" t="inlineStr"/>
      <c r="H16" s="7" t="inlineStr"/>
      <c r="I16" s="9" t="inlineStr"/>
    </row>
    <row r="17" ht="26" customHeight="1">
      <c r="A17" s="6" t="n">
        <v>15</v>
      </c>
      <c r="B17" s="4" t="inlineStr">
        <is>
          <t>C 配置（SPRO / マスタ）</t>
        </is>
      </c>
      <c r="C17" s="4" t="inlineStr">
        <is>
          <t>プロジェクトプロファイルとコーディングマスク</t>
        </is>
      </c>
      <c r="D17" s="6" t="inlineStr">
        <is>
          <t>config.html#c5</t>
        </is>
      </c>
      <c r="E17" s="4" t="inlineStr">
        <is>
          <t>确认（自系统） CJ20N で新規作成 → プロファイルを選択 → WBS を 1 件作って ID を見る（ZETO-1000.</t>
        </is>
      </c>
      <c r="F17" s="6" t="n">
        <v>15</v>
      </c>
      <c r="G17" s="6" t="inlineStr"/>
      <c r="H17" s="7" t="inlineStr"/>
      <c r="I17" s="4" t="inlineStr"/>
    </row>
    <row r="18" ht="26" customHeight="1">
      <c r="A18" s="8" t="n">
        <v>16</v>
      </c>
      <c r="B18" s="9" t="inlineStr">
        <is>
          <t>C 配置（SPRO / マスタ）</t>
        </is>
      </c>
      <c r="C18" s="9" t="inlineStr">
        <is>
          <t>ユーザステータス（プロジェクト・WBS・ネットワーク）</t>
        </is>
      </c>
      <c r="D18" s="8" t="inlineStr">
        <is>
          <t>config.html#c6</t>
        </is>
      </c>
      <c r="E18" s="9" t="inlineStr">
        <is>
          <t>确认（自系统）CJ20N → プロジェクト → メニュー「編集」→「ステータス」→「解放」を実行し、WBS/ネットワークのステータスが変わることを確認（本番環境では行わない）。</t>
        </is>
      </c>
      <c r="F18" s="8" t="n">
        <v>15</v>
      </c>
      <c r="G18" s="8" t="inlineStr"/>
      <c r="H18" s="7" t="inlineStr"/>
      <c r="I18" s="9" t="inlineStr"/>
    </row>
    <row r="19" ht="26" customHeight="1">
      <c r="A19" s="6" t="n">
        <v>17</v>
      </c>
      <c r="B19" s="4" t="inlineStr">
        <is>
          <t>C 配置（SPRO / マスタ）</t>
        </is>
      </c>
      <c r="C19" s="4" t="inlineStr">
        <is>
          <t>ネットワークタイプ・パラメータ・プロファイル</t>
        </is>
      </c>
      <c r="D19" s="6" t="inlineStr">
        <is>
          <t>config.html#c7</t>
        </is>
      </c>
      <c r="E19" s="4" t="inlineStr">
        <is>
          <t>确认（自系统）CN21 でネットワークを 1 件作成（プロファイルを選択・活動 0010 を追加）→ 保存できること。</t>
        </is>
      </c>
      <c r="F19" s="6" t="n">
        <v>15</v>
      </c>
      <c r="G19" s="6" t="inlineStr"/>
      <c r="H19" s="7" t="inlineStr"/>
      <c r="I19" s="4" t="inlineStr"/>
    </row>
    <row r="20" ht="18" customHeight="1">
      <c r="A20" s="8" t="n">
        <v>18</v>
      </c>
      <c r="B20" s="9" t="inlineStr">
        <is>
          <t>C 配置（SPRO / マスタ）</t>
        </is>
      </c>
      <c r="C20" s="9" t="inlineStr">
        <is>
          <t>予算プロファイルと可用性管理</t>
        </is>
      </c>
      <c r="D20" s="8" t="inlineStr">
        <is>
          <t>config.html#c8</t>
        </is>
      </c>
      <c r="E20" s="9" t="inlineStr">
        <is>
          <t>确认（自系统）CJ31 で元予算・解放額・使用額（実績＋コミット）が見える。</t>
        </is>
      </c>
      <c r="F20" s="8" t="n">
        <v>15</v>
      </c>
      <c r="G20" s="8" t="inlineStr"/>
      <c r="H20" s="7" t="inlineStr"/>
      <c r="I20" s="9" t="inlineStr"/>
    </row>
    <row r="21" ht="26" customHeight="1">
      <c r="A21" s="6" t="n">
        <v>19</v>
      </c>
      <c r="B21" s="4" t="inlineStr">
        <is>
          <t>C 配置（SPRO / マスタ）</t>
        </is>
      </c>
      <c r="C21" s="4" t="inlineStr">
        <is>
          <t>評価付プロジェクト在庫（最重要）</t>
        </is>
      </c>
      <c r="D21" s="6" t="inlineStr">
        <is>
          <t>config.html#c9</t>
        </is>
      </c>
      <c r="E21" s="4" t="inlineStr">
        <is>
          <t>确认（自系统） ① CJ20N/CJ03 で評価付フラグが見える ② MM03 MRP4 個別所要量 ③ 戦略グループ→所要量クラスの評価区分 M ④ 受注明細の WBS。</t>
        </is>
      </c>
      <c r="F21" s="6" t="n">
        <v>15</v>
      </c>
      <c r="G21" s="6" t="inlineStr"/>
      <c r="H21" s="7" t="inlineStr"/>
      <c r="I21" s="4" t="inlineStr"/>
    </row>
    <row r="22" ht="26" customHeight="1">
      <c r="A22" s="8" t="n">
        <v>20</v>
      </c>
      <c r="B22" s="9" t="inlineStr">
        <is>
          <t>C 配置（SPRO / マスタ）</t>
        </is>
      </c>
      <c r="C22" s="9" t="inlineStr">
        <is>
          <t>受注明細の WBS 割当（SD × PS 接続点）</t>
        </is>
      </c>
      <c r="D22" s="8" t="inlineStr">
        <is>
          <t>config.html#c10</t>
        </is>
      </c>
      <c r="E22" s="9" t="inlineStr">
        <is>
          <t>确认（自系统） VA03 → 明細 → WBS 要素に入力値がある、所要量タイプが Q 系（Cloud は E21）になっている。</t>
        </is>
      </c>
      <c r="F22" s="8" t="n">
        <v>15</v>
      </c>
      <c r="G22" s="8" t="inlineStr"/>
      <c r="H22" s="7" t="inlineStr"/>
      <c r="I22" s="9" t="inlineStr"/>
    </row>
    <row r="23" ht="18" customHeight="1">
      <c r="A23" s="6" t="n">
        <v>21</v>
      </c>
      <c r="B23" s="4" t="inlineStr">
        <is>
          <t>C 配置（SPRO / マスタ）</t>
        </is>
      </c>
      <c r="C23" s="4" t="inlineStr">
        <is>
          <t>請求計画／出来高請求の前提</t>
        </is>
      </c>
      <c r="D23" s="6" t="inlineStr">
        <is>
          <t>config.html#c11</t>
        </is>
      </c>
      <c r="E23" s="4" t="inlineStr">
        <is>
          <t>当該設定を実施し、確認欄（自システムでの確認方法）で期待どおりの結果を確認した</t>
        </is>
      </c>
      <c r="F23" s="6" t="n">
        <v>15</v>
      </c>
      <c r="G23" s="6" t="inlineStr"/>
      <c r="H23" s="7" t="inlineStr"/>
      <c r="I23" s="4" t="inlineStr"/>
    </row>
    <row r="24" ht="26" customHeight="1">
      <c r="A24" s="8" t="n">
        <v>22</v>
      </c>
      <c r="B24" s="9" t="inlineStr">
        <is>
          <t>C 配置（SPRO / マスタ）</t>
        </is>
      </c>
      <c r="C24" s="9" t="inlineStr">
        <is>
          <t>決済の前提（WBS・指図・受注）</t>
        </is>
      </c>
      <c r="D24" s="8" t="inlineStr">
        <is>
          <t>config.html#c12</t>
        </is>
      </c>
      <c r="E24" s="9" t="inlineStr">
        <is>
          <t>确认（自系统）決済を実行すると、WBS に集まった原価・収益が決済受信者へ流れ、CJI3 の残高が整理される。</t>
        </is>
      </c>
      <c r="F24" s="8" t="n">
        <v>15</v>
      </c>
      <c r="G24" s="8" t="inlineStr"/>
      <c r="H24" s="7" t="inlineStr"/>
      <c r="I24" s="9" t="inlineStr"/>
    </row>
    <row r="25" ht="26" customHeight="1">
      <c r="A25" s="6" t="n">
        <v>23</v>
      </c>
      <c r="B25" s="4" t="inlineStr">
        <is>
          <t>C 配置（SPRO / マスタ）</t>
        </is>
      </c>
      <c r="C25" s="4" t="inlineStr">
        <is>
          <t>結果分析と収益認識の前提</t>
        </is>
      </c>
      <c r="D25" s="6" t="inlineStr">
        <is>
          <t>config.html#c13</t>
        </is>
      </c>
      <c r="E25" s="4" t="inlineStr">
        <is>
          <t>确认（自系统）結果分析後に KKAX（WIP 照会）と CJI3 を見て、「原価・収益・WIP の 3 つがどこに出ているか」を自分の言葉で説明する。</t>
        </is>
      </c>
      <c r="F25" s="6" t="n">
        <v>15</v>
      </c>
      <c r="G25" s="6" t="inlineStr"/>
      <c r="H25" s="7" t="inlineStr"/>
      <c r="I25" s="4" t="inlineStr"/>
    </row>
    <row r="26" ht="18" customHeight="1">
      <c r="A26" s="8" t="n">
        <v>24</v>
      </c>
      <c r="B26" s="9" t="inlineStr">
        <is>
          <t>C 配置（SPRO / マスタ）</t>
        </is>
      </c>
      <c r="C26" s="9" t="inlineStr">
        <is>
          <t>MRP 実行と勘定設定の伝搬</t>
        </is>
      </c>
      <c r="D26" s="8" t="inlineStr">
        <is>
          <t>config.html#c14</t>
        </is>
      </c>
      <c r="E26" s="9" t="inlineStr">
        <is>
          <t>确认（自系统）MD04 の計画手配 →「明細」、CO03 のヘッダ/勘定設定。</t>
        </is>
      </c>
      <c r="F26" s="8" t="n">
        <v>15</v>
      </c>
      <c r="G26" s="8" t="inlineStr"/>
      <c r="H26" s="7" t="inlineStr"/>
      <c r="I26" s="9" t="inlineStr"/>
    </row>
    <row r="27" ht="26" customHeight="1">
      <c r="A27" s="6" t="n">
        <v>25</v>
      </c>
      <c r="B27" s="4" t="inlineStr">
        <is>
          <t>C 配置（SPRO / マスタ）</t>
        </is>
      </c>
      <c r="C27" s="4" t="inlineStr">
        <is>
          <t>在庫・移動タイプ・自動転記</t>
        </is>
      </c>
      <c r="D27" s="6" t="inlineStr">
        <is>
          <t>config.html#c15</t>
        </is>
      </c>
      <c r="E27" s="4" t="inlineStr">
        <is>
          <t>确认（自系统）MMBE に「プロジェクト在庫」と「自由在庫 0」、MSPR に Q のレコード。</t>
        </is>
      </c>
      <c r="F27" s="6" t="n">
        <v>15</v>
      </c>
      <c r="G27" s="6" t="inlineStr"/>
      <c r="H27" s="7" t="inlineStr"/>
      <c r="I27" s="4" t="inlineStr"/>
    </row>
    <row r="28" ht="18" customHeight="1">
      <c r="A28" s="8" t="n">
        <v>26</v>
      </c>
      <c r="B28" s="9" t="inlineStr">
        <is>
          <t>D 練習①</t>
        </is>
      </c>
      <c r="C28" s="9" t="inlineStr">
        <is>
          <t>1-1 プロジェクトと WBS の作成（CJ20N）</t>
        </is>
      </c>
      <c r="D28" s="8" t="inlineStr">
        <is>
          <t>handson-1.html</t>
        </is>
      </c>
      <c r="E28" s="9" t="inlineStr">
        <is>
          <t>手順どおり操作し、「期待結果」の記載とシステムの状態が一致することを確認した</t>
        </is>
      </c>
      <c r="F28" s="8" t="n">
        <v>20</v>
      </c>
      <c r="G28" s="8" t="inlineStr"/>
      <c r="H28" s="7" t="inlineStr"/>
      <c r="I28" s="9" t="inlineStr"/>
    </row>
    <row r="29" ht="18" customHeight="1">
      <c r="A29" s="6" t="n">
        <v>27</v>
      </c>
      <c r="B29" s="4" t="inlineStr">
        <is>
          <t>D 練習①</t>
        </is>
      </c>
      <c r="C29" s="4" t="inlineStr">
        <is>
          <t>1-2 ネットワークと活動の作成（CN21 / CJ20N）</t>
        </is>
      </c>
      <c r="D29" s="6" t="inlineStr">
        <is>
          <t>handson-1.html</t>
        </is>
      </c>
      <c r="E29" s="4" t="inlineStr">
        <is>
          <t>手順どおり操作し、「期待結果」の記載とシステムの状態が一致することを確認した</t>
        </is>
      </c>
      <c r="F29" s="6" t="n">
        <v>20</v>
      </c>
      <c r="G29" s="6" t="inlineStr"/>
      <c r="H29" s="7" t="inlineStr"/>
      <c r="I29" s="4" t="inlineStr"/>
    </row>
    <row r="30" ht="18" customHeight="1">
      <c r="A30" s="8" t="n">
        <v>28</v>
      </c>
      <c r="B30" s="9" t="inlineStr">
        <is>
          <t>D 練習①</t>
        </is>
      </c>
      <c r="C30" s="9" t="inlineStr">
        <is>
          <t>1-3 原価・収益計画（CJ40 / CJ42）</t>
        </is>
      </c>
      <c r="D30" s="8" t="inlineStr">
        <is>
          <t>handson-1.html</t>
        </is>
      </c>
      <c r="E30" s="9" t="inlineStr">
        <is>
          <t>手順どおり操作し、「期待結果」の記載とシステムの状態が一致することを確認した</t>
        </is>
      </c>
      <c r="F30" s="8" t="n">
        <v>20</v>
      </c>
      <c r="G30" s="8" t="inlineStr"/>
      <c r="H30" s="7" t="inlineStr"/>
      <c r="I30" s="9" t="inlineStr"/>
    </row>
    <row r="31" ht="18" customHeight="1">
      <c r="A31" s="6" t="n">
        <v>29</v>
      </c>
      <c r="B31" s="4" t="inlineStr">
        <is>
          <t>D 練習①</t>
        </is>
      </c>
      <c r="C31" s="4" t="inlineStr">
        <is>
          <t>1-4 予算の投入と解放（CJ30 / CJ32）</t>
        </is>
      </c>
      <c r="D31" s="6" t="inlineStr">
        <is>
          <t>handson-1.html</t>
        </is>
      </c>
      <c r="E31" s="4" t="inlineStr">
        <is>
          <t>手順どおり操作し、「期待結果」の記載とシステムの状態が一致することを確認した</t>
        </is>
      </c>
      <c r="F31" s="6" t="n">
        <v>20</v>
      </c>
      <c r="G31" s="6" t="inlineStr"/>
      <c r="H31" s="7" t="inlineStr"/>
      <c r="I31" s="4" t="inlineStr"/>
    </row>
    <row r="32" ht="18" customHeight="1">
      <c r="A32" s="8" t="n">
        <v>30</v>
      </c>
      <c r="B32" s="9" t="inlineStr">
        <is>
          <t>D 練習①</t>
        </is>
      </c>
      <c r="C32" s="9" t="inlineStr">
        <is>
          <t>1-5 受注の登録と WBS の割当（VA01）——E と Q の分かれ目</t>
        </is>
      </c>
      <c r="D32" s="8" t="inlineStr">
        <is>
          <t>handson-1.html</t>
        </is>
      </c>
      <c r="E32" s="9" t="inlineStr">
        <is>
          <t>手順どおり操作し、「期待結果」の記載とシステムの状態が一致することを確認した</t>
        </is>
      </c>
      <c r="F32" s="8" t="n">
        <v>20</v>
      </c>
      <c r="G32" s="8" t="inlineStr"/>
      <c r="H32" s="7" t="inlineStr"/>
      <c r="I32" s="9" t="inlineStr"/>
    </row>
    <row r="33" ht="18" customHeight="1">
      <c r="A33" s="6" t="n">
        <v>31</v>
      </c>
      <c r="B33" s="4" t="inlineStr">
        <is>
          <t>D 練習①</t>
        </is>
      </c>
      <c r="C33" s="4" t="inlineStr">
        <is>
          <t>1-6 明細・請求計画の確認と登録（VA03 / VA02）</t>
        </is>
      </c>
      <c r="D33" s="6" t="inlineStr">
        <is>
          <t>handson-1.html</t>
        </is>
      </c>
      <c r="E33" s="4" t="inlineStr">
        <is>
          <t>手順どおり操作し、「期待結果」の記載とシステムの状態が一致することを確認した</t>
        </is>
      </c>
      <c r="F33" s="6" t="n">
        <v>20</v>
      </c>
      <c r="G33" s="6" t="inlineStr"/>
      <c r="H33" s="7" t="inlineStr"/>
      <c r="I33" s="4" t="inlineStr"/>
    </row>
    <row r="34" ht="26" customHeight="1">
      <c r="A34" s="8" t="n">
        <v>32</v>
      </c>
      <c r="B34" s="9" t="inlineStr">
        <is>
          <t>D 練習①（验收）</t>
        </is>
      </c>
      <c r="C34" s="9" t="inlineStr">
        <is>
          <t>CJ20N でプロジェクト（ZETO-1000）と WBS 3 件を作成し、評価付プロジェクト在庫 ON を確認した。</t>
        </is>
      </c>
      <c r="D34" s="8" t="inlineStr">
        <is>
          <t>handson-1.html</t>
        </is>
      </c>
      <c r="E34" s="9" t="inlineStr">
        <is>
          <t>CJ20N でプロジェクト（ZETO-1000）と WBS 3 件を作成し、評価付プロジェクト在庫 ON を確認した。</t>
        </is>
      </c>
      <c r="F34" s="8" t="n">
        <v>5</v>
      </c>
      <c r="G34" s="8" t="inlineStr"/>
      <c r="H34" s="7" t="inlineStr"/>
      <c r="I34" s="9" t="inlineStr"/>
    </row>
    <row r="35" ht="18" customHeight="1">
      <c r="A35" s="6" t="n">
        <v>33</v>
      </c>
      <c r="B35" s="4" t="inlineStr">
        <is>
          <t>D 練習①（验收）</t>
        </is>
      </c>
      <c r="C35" s="4" t="inlineStr">
        <is>
          <t>WBS .1 が請求要素、.2 が勘定設定要素であることを説明できる。</t>
        </is>
      </c>
      <c r="D35" s="6" t="inlineStr">
        <is>
          <t>handson-1.html</t>
        </is>
      </c>
      <c r="E35" s="4" t="inlineStr">
        <is>
          <t>WBS .1 が請求要素、.2 が勘定設定要素であることを説明できる。</t>
        </is>
      </c>
      <c r="F35" s="6" t="n">
        <v>5</v>
      </c>
      <c r="G35" s="6" t="inlineStr"/>
      <c r="H35" s="7" t="inlineStr"/>
      <c r="I35" s="4" t="inlineStr"/>
    </row>
    <row r="36" ht="26" customHeight="1">
      <c r="A36" s="8" t="n">
        <v>34</v>
      </c>
      <c r="B36" s="9" t="inlineStr">
        <is>
          <t>D 練習①（验收）</t>
        </is>
      </c>
      <c r="C36" s="9" t="inlineStr">
        <is>
          <t>CN21/CN23 でネットワークと活動（0010/0020）を作成・確認した（または省略した理由を説明できる）。</t>
        </is>
      </c>
      <c r="D36" s="8" t="inlineStr">
        <is>
          <t>handson-1.html</t>
        </is>
      </c>
      <c r="E36" s="9" t="inlineStr">
        <is>
          <t>CN21/CN23 でネットワークと活動（0010/0020）を作成・確認した（または省略した理由を説明できる）。</t>
        </is>
      </c>
      <c r="F36" s="8" t="n">
        <v>5</v>
      </c>
      <c r="G36" s="8" t="inlineStr"/>
      <c r="H36" s="7" t="inlineStr"/>
      <c r="I36" s="9" t="inlineStr"/>
    </row>
    <row r="37" ht="18" customHeight="1">
      <c r="A37" s="6" t="n">
        <v>35</v>
      </c>
      <c r="B37" s="4" t="inlineStr">
        <is>
          <t>D 練習①（验收）</t>
        </is>
      </c>
      <c r="C37" s="4" t="inlineStr">
        <is>
          <t>CJ40/CJ42 で計画原価・計画収益を入力し、CJI4 で確認した。</t>
        </is>
      </c>
      <c r="D37" s="6" t="inlineStr">
        <is>
          <t>handson-1.html</t>
        </is>
      </c>
      <c r="E37" s="4" t="inlineStr">
        <is>
          <t>CJ40/CJ42 で計画原価・計画収益を入力し、CJI4 で確認した。</t>
        </is>
      </c>
      <c r="F37" s="6" t="n">
        <v>5</v>
      </c>
      <c r="G37" s="6" t="inlineStr"/>
      <c r="H37" s="7" t="inlineStr"/>
      <c r="I37" s="4" t="inlineStr"/>
    </row>
    <row r="38" ht="18" customHeight="1">
      <c r="A38" s="8" t="n">
        <v>36</v>
      </c>
      <c r="B38" s="9" t="inlineStr">
        <is>
          <t>D 練習①（验收）</t>
        </is>
      </c>
      <c r="C38" s="9" t="inlineStr">
        <is>
          <t>CJ30→CJ32 で予算投入と解放を行い、CJ31 で確認した。</t>
        </is>
      </c>
      <c r="D38" s="8" t="inlineStr">
        <is>
          <t>handson-1.html</t>
        </is>
      </c>
      <c r="E38" s="9" t="inlineStr">
        <is>
          <t>CJ30→CJ32 で予算投入と解放を行い、CJ31 で確認した。</t>
        </is>
      </c>
      <c r="F38" s="8" t="n">
        <v>5</v>
      </c>
      <c r="G38" s="8" t="inlineStr"/>
      <c r="H38" s="7" t="inlineStr"/>
      <c r="I38" s="9" t="inlineStr"/>
    </row>
    <row r="39" ht="18" customHeight="1">
      <c r="A39" s="6" t="n">
        <v>37</v>
      </c>
      <c r="B39" s="4" t="inlineStr">
        <is>
          <t>D 練習①（验收）</t>
        </is>
      </c>
      <c r="C39" s="4" t="inlineStr">
        <is>
          <t>受注明細に WBS ZETO-1000.1 を入れ、請求計画 30%/70% を登録した。</t>
        </is>
      </c>
      <c r="D39" s="6" t="inlineStr">
        <is>
          <t>handson-1.html</t>
        </is>
      </c>
      <c r="E39" s="4" t="inlineStr">
        <is>
          <t>受注明細に WBS ZETO-1000.1 を入れ、請求計画 30%/70% を登録した。</t>
        </is>
      </c>
      <c r="F39" s="6" t="n">
        <v>5</v>
      </c>
      <c r="G39" s="6" t="inlineStr"/>
      <c r="H39" s="7" t="inlineStr"/>
      <c r="I39" s="4" t="inlineStr"/>
    </row>
    <row r="40" ht="18" customHeight="1">
      <c r="A40" s="8" t="n">
        <v>38</v>
      </c>
      <c r="B40" s="9" t="inlineStr">
        <is>
          <t>D 練習①（验收）</t>
        </is>
      </c>
      <c r="C40" s="9" t="inlineStr">
        <is>
          <t>所要量タイプが Q 系であることを自分のシステムで実測して記録した。</t>
        </is>
      </c>
      <c r="D40" s="8" t="inlineStr">
        <is>
          <t>handson-1.html</t>
        </is>
      </c>
      <c r="E40" s="9" t="inlineStr">
        <is>
          <t>所要量タイプが Q 系であることを自分のシステムで実測して記録した。</t>
        </is>
      </c>
      <c r="F40" s="8" t="n">
        <v>5</v>
      </c>
      <c r="G40" s="8" t="inlineStr"/>
      <c r="H40" s="7" t="inlineStr"/>
      <c r="I40" s="9" t="inlineStr"/>
    </row>
    <row r="41" ht="18" customHeight="1">
      <c r="A41" s="6" t="n">
        <v>39</v>
      </c>
      <c r="B41" s="4" t="inlineStr">
        <is>
          <t>E 練習②</t>
        </is>
      </c>
      <c r="C41" s="4" t="inlineStr">
        <is>
          <t>2-1 計画と予算の再確認（CJI4 / CJI5 / CJ31）</t>
        </is>
      </c>
      <c r="D41" s="6" t="inlineStr">
        <is>
          <t>handson-2.html</t>
        </is>
      </c>
      <c r="E41" s="4" t="inlineStr">
        <is>
          <t>手順どおり操作し、「期待結果」の記載とシステムの状態が一致することを確認した</t>
        </is>
      </c>
      <c r="F41" s="6" t="n">
        <v>20</v>
      </c>
      <c r="G41" s="6" t="inlineStr"/>
      <c r="H41" s="7" t="inlineStr"/>
      <c r="I41" s="4" t="inlineStr"/>
    </row>
    <row r="42" ht="18" customHeight="1">
      <c r="A42" s="8" t="n">
        <v>40</v>
      </c>
      <c r="B42" s="9" t="inlineStr">
        <is>
          <t>E 練習②</t>
        </is>
      </c>
      <c r="C42" s="9" t="inlineStr">
        <is>
          <t>2-2 MRP の実行（MD51：プロジェクト MRP）</t>
        </is>
      </c>
      <c r="D42" s="8" t="inlineStr">
        <is>
          <t>handson-2.html</t>
        </is>
      </c>
      <c r="E42" s="9" t="inlineStr">
        <is>
          <t>手順どおり操作し、「期待結果」の記載とシステムの状態が一致することを確認した</t>
        </is>
      </c>
      <c r="F42" s="8" t="n">
        <v>20</v>
      </c>
      <c r="G42" s="8" t="inlineStr"/>
      <c r="H42" s="7" t="inlineStr"/>
      <c r="I42" s="9" t="inlineStr"/>
    </row>
    <row r="43" ht="18" customHeight="1">
      <c r="A43" s="6" t="n">
        <v>41</v>
      </c>
      <c r="B43" s="4" t="inlineStr">
        <is>
          <t>E 練習②</t>
        </is>
      </c>
      <c r="C43" s="4" t="inlineStr">
        <is>
          <t>2-3 計画手配の確認（MD04）——勘定設定と在庫区分が命</t>
        </is>
      </c>
      <c r="D43" s="6" t="inlineStr">
        <is>
          <t>handson-2.html</t>
        </is>
      </c>
      <c r="E43" s="4" t="inlineStr">
        <is>
          <t>手順どおり操作し、「期待結果」の記載とシステムの状態が一致することを確認した</t>
        </is>
      </c>
      <c r="F43" s="6" t="n">
        <v>20</v>
      </c>
      <c r="G43" s="6" t="inlineStr"/>
      <c r="H43" s="7" t="inlineStr"/>
      <c r="I43" s="4" t="inlineStr"/>
    </row>
    <row r="44" ht="18" customHeight="1">
      <c r="A44" s="8" t="n">
        <v>42</v>
      </c>
      <c r="B44" s="9" t="inlineStr">
        <is>
          <t>E 練習②</t>
        </is>
      </c>
      <c r="C44" s="9" t="inlineStr">
        <is>
          <t>2-4 製造指図の登録（CO40 / CO08）</t>
        </is>
      </c>
      <c r="D44" s="8" t="inlineStr">
        <is>
          <t>handson-2.html</t>
        </is>
      </c>
      <c r="E44" s="9" t="inlineStr">
        <is>
          <t>手順どおり操作し、「期待結果」の記載とシステムの状態が一致することを確認した</t>
        </is>
      </c>
      <c r="F44" s="8" t="n">
        <v>20</v>
      </c>
      <c r="G44" s="8" t="inlineStr"/>
      <c r="H44" s="7" t="inlineStr"/>
      <c r="I44" s="9" t="inlineStr"/>
    </row>
    <row r="45" ht="18" customHeight="1">
      <c r="A45" s="6" t="n">
        <v>43</v>
      </c>
      <c r="B45" s="4" t="inlineStr">
        <is>
          <t>E 練習②</t>
        </is>
      </c>
      <c r="C45" s="4" t="inlineStr">
        <is>
          <t>2-5 製造指図の確認（CO03）</t>
        </is>
      </c>
      <c r="D45" s="6" t="inlineStr">
        <is>
          <t>handson-2.html</t>
        </is>
      </c>
      <c r="E45" s="4" t="inlineStr">
        <is>
          <t>手順どおり操作し、「期待結果」の記載とシステムの状態が一致することを確認した</t>
        </is>
      </c>
      <c r="F45" s="6" t="n">
        <v>20</v>
      </c>
      <c r="G45" s="6" t="inlineStr"/>
      <c r="H45" s="7" t="inlineStr"/>
      <c r="I45" s="4" t="inlineStr"/>
    </row>
    <row r="46" ht="18" customHeight="1">
      <c r="A46" s="8" t="n">
        <v>44</v>
      </c>
      <c r="B46" s="9" t="inlineStr">
        <is>
          <t>E 練習②</t>
        </is>
      </c>
      <c r="C46" s="9" t="inlineStr">
        <is>
          <t>2-6 購買依頼（発展：外注・材料を WBS で手配）</t>
        </is>
      </c>
      <c r="D46" s="8" t="inlineStr">
        <is>
          <t>handson-2.html</t>
        </is>
      </c>
      <c r="E46" s="9" t="inlineStr">
        <is>
          <t>手順どおり操作し、「期待結果」の記載とシステムの状態が一致することを確認した</t>
        </is>
      </c>
      <c r="F46" s="8" t="n">
        <v>20</v>
      </c>
      <c r="G46" s="8" t="inlineStr"/>
      <c r="H46" s="7" t="inlineStr"/>
      <c r="I46" s="9" t="inlineStr"/>
    </row>
    <row r="47" ht="18" customHeight="1">
      <c r="A47" s="6" t="n">
        <v>45</v>
      </c>
      <c r="B47" s="4" t="inlineStr">
        <is>
          <t>E 練習②（验收）</t>
        </is>
      </c>
      <c r="C47" s="4" t="inlineStr">
        <is>
          <t>CJI4/CJ31 で計画・予算の基準値を記録した。</t>
        </is>
      </c>
      <c r="D47" s="6" t="inlineStr">
        <is>
          <t>handson-2.html</t>
        </is>
      </c>
      <c r="E47" s="4" t="inlineStr">
        <is>
          <t>CJI4/CJ31 で計画・予算の基準値を記録した。</t>
        </is>
      </c>
      <c r="F47" s="6" t="n">
        <v>5</v>
      </c>
      <c r="G47" s="6" t="inlineStr"/>
      <c r="H47" s="7" t="inlineStr"/>
      <c r="I47" s="4" t="inlineStr"/>
    </row>
    <row r="48" ht="18" customHeight="1">
      <c r="A48" s="8" t="n">
        <v>46</v>
      </c>
      <c r="B48" s="9" t="inlineStr">
        <is>
          <t>E 練習②（验收）</t>
        </is>
      </c>
      <c r="C48" s="9" t="inlineStr">
        <is>
          <t>MD51（または MD50/MD01N）を実行し、MD04 で結果を確認した。</t>
        </is>
      </c>
      <c r="D48" s="8" t="inlineStr">
        <is>
          <t>handson-2.html</t>
        </is>
      </c>
      <c r="E48" s="9" t="inlineStr">
        <is>
          <t>MD51（または MD50/MD01N）を実行し、MD04 で結果を確認した。</t>
        </is>
      </c>
      <c r="F48" s="8" t="n">
        <v>5</v>
      </c>
      <c r="G48" s="8" t="inlineStr"/>
      <c r="H48" s="7" t="inlineStr"/>
      <c r="I48" s="9" t="inlineStr"/>
    </row>
    <row r="49" ht="18" customHeight="1">
      <c r="A49" s="6" t="n">
        <v>47</v>
      </c>
      <c r="B49" s="4" t="inlineStr">
        <is>
          <t>E 練習②（验收）</t>
        </is>
      </c>
      <c r="C49" s="4" t="inlineStr">
        <is>
          <t>計画手配の勘定設定 = WBS・在庫区分 = プロジェクト在庫 Q を確認した。</t>
        </is>
      </c>
      <c r="D49" s="6" t="inlineStr">
        <is>
          <t>handson-2.html</t>
        </is>
      </c>
      <c r="E49" s="4" t="inlineStr">
        <is>
          <t>計画手配の勘定設定 = WBS・在庫区分 = プロジェクト在庫 Q を確認した。</t>
        </is>
      </c>
      <c r="F49" s="6" t="n">
        <v>5</v>
      </c>
      <c r="G49" s="6" t="inlineStr"/>
      <c r="H49" s="7" t="inlineStr"/>
      <c r="I49" s="4" t="inlineStr"/>
    </row>
    <row r="50" ht="26" customHeight="1">
      <c r="A50" s="8" t="n">
        <v>48</v>
      </c>
      <c r="B50" s="9" t="inlineStr">
        <is>
          <t>E 練習②（验收）</t>
        </is>
      </c>
      <c r="C50" s="9" t="inlineStr">
        <is>
          <t>計画手配を製造指図へ変換し（または CO08 で登録）、CO03 で勘定設定・構成品目・入庫予定を確認した。</t>
        </is>
      </c>
      <c r="D50" s="8" t="inlineStr">
        <is>
          <t>handson-2.html</t>
        </is>
      </c>
      <c r="E50" s="9" t="inlineStr">
        <is>
          <t>計画手配を製造指図へ変換し（または CO08 で登録）、CO03 で勘定設定・構成品目・入庫予定を確認した。</t>
        </is>
      </c>
      <c r="F50" s="8" t="n">
        <v>5</v>
      </c>
      <c r="G50" s="8" t="inlineStr"/>
      <c r="H50" s="7" t="inlineStr"/>
      <c r="I50" s="9" t="inlineStr"/>
    </row>
    <row r="51" ht="26" customHeight="1">
      <c r="A51" s="6" t="n">
        <v>49</v>
      </c>
      <c r="B51" s="4" t="inlineStr">
        <is>
          <t>E 練習②（验收）</t>
        </is>
      </c>
      <c r="C51" s="4" t="inlineStr">
        <is>
          <t>（発展）ME51N で WBS 付きの購買依頼を作成し、CJI5 にコミットメントが出ることを確認した（または省略理由を説明）。</t>
        </is>
      </c>
      <c r="D51" s="6" t="inlineStr">
        <is>
          <t>handson-2.html</t>
        </is>
      </c>
      <c r="E51" s="4" t="inlineStr">
        <is>
          <t>（発展）ME51N で WBS 付きの購買依頼を作成し、CJI5 にコミットメントが出ることを確認した（または省略理由を説明）。</t>
        </is>
      </c>
      <c r="F51" s="6" t="n">
        <v>5</v>
      </c>
      <c r="G51" s="6" t="inlineStr"/>
      <c r="H51" s="7" t="inlineStr"/>
      <c r="I51" s="4" t="inlineStr"/>
    </row>
    <row r="52" ht="18" customHeight="1">
      <c r="A52" s="8" t="n">
        <v>50</v>
      </c>
      <c r="B52" s="9" t="inlineStr">
        <is>
          <t>F 練習③</t>
        </is>
      </c>
      <c r="C52" s="9" t="inlineStr">
        <is>
          <t>3-0 指図の解放（CO02）</t>
        </is>
      </c>
      <c r="D52" s="8" t="inlineStr">
        <is>
          <t>handson-3.html</t>
        </is>
      </c>
      <c r="E52" s="9" t="inlineStr">
        <is>
          <t>手順どおり操作し、「期待結果」の記載とシステムの状態が一致することを確認した</t>
        </is>
      </c>
      <c r="F52" s="8" t="n">
        <v>20</v>
      </c>
      <c r="G52" s="8" t="inlineStr"/>
      <c r="H52" s="7" t="inlineStr"/>
      <c r="I52" s="9" t="inlineStr"/>
    </row>
    <row r="53" ht="18" customHeight="1">
      <c r="A53" s="6" t="n">
        <v>51</v>
      </c>
      <c r="B53" s="4" t="inlineStr">
        <is>
          <t>F 練習③</t>
        </is>
      </c>
      <c r="C53" s="4" t="inlineStr">
        <is>
          <t>3-1 部品出庫（MIGO / 261）</t>
        </is>
      </c>
      <c r="D53" s="6" t="inlineStr">
        <is>
          <t>handson-3.html</t>
        </is>
      </c>
      <c r="E53" s="4" t="inlineStr">
        <is>
          <t>手順どおり操作し、「期待結果」の記載とシステムの状態が一致することを確認した</t>
        </is>
      </c>
      <c r="F53" s="6" t="n">
        <v>20</v>
      </c>
      <c r="G53" s="6" t="inlineStr"/>
      <c r="H53" s="7" t="inlineStr"/>
      <c r="I53" s="4" t="inlineStr"/>
    </row>
    <row r="54" ht="18" customHeight="1">
      <c r="A54" s="8" t="n">
        <v>52</v>
      </c>
      <c r="B54" s="9" t="inlineStr">
        <is>
          <t>F 練習③</t>
        </is>
      </c>
      <c r="C54" s="9" t="inlineStr">
        <is>
          <t>3-2 製造実績（CO11N）と活動確認（CN25）</t>
        </is>
      </c>
      <c r="D54" s="8" t="inlineStr">
        <is>
          <t>handson-3.html</t>
        </is>
      </c>
      <c r="E54" s="9" t="inlineStr">
        <is>
          <t>手順どおり操作し、「期待結果」の記載とシステムの状態が一致することを確認した</t>
        </is>
      </c>
      <c r="F54" s="8" t="n">
        <v>20</v>
      </c>
      <c r="G54" s="8" t="inlineStr"/>
      <c r="H54" s="7" t="inlineStr"/>
      <c r="I54" s="9" t="inlineStr"/>
    </row>
    <row r="55" ht="18" customHeight="1">
      <c r="A55" s="6" t="n">
        <v>53</v>
      </c>
      <c r="B55" s="4" t="inlineStr">
        <is>
          <t>F 練習③</t>
        </is>
      </c>
      <c r="C55" s="4" t="inlineStr">
        <is>
          <t>3-3 完成品入庫（MIGO 101 → プロジェクト在庫 Q）</t>
        </is>
      </c>
      <c r="D55" s="6" t="inlineStr">
        <is>
          <t>handson-3.html</t>
        </is>
      </c>
      <c r="E55" s="4" t="inlineStr">
        <is>
          <t>手順どおり操作し、「期待結果」の記載とシステムの状態が一致することを確認した</t>
        </is>
      </c>
      <c r="F55" s="6" t="n">
        <v>20</v>
      </c>
      <c r="G55" s="6" t="inlineStr"/>
      <c r="H55" s="7" t="inlineStr"/>
      <c r="I55" s="4" t="inlineStr"/>
    </row>
    <row r="56" ht="18" customHeight="1">
      <c r="A56" s="8" t="n">
        <v>54</v>
      </c>
      <c r="B56" s="9" t="inlineStr">
        <is>
          <t>F 練習③</t>
        </is>
      </c>
      <c r="C56" s="9" t="inlineStr">
        <is>
          <t>3-4 在庫と金額の確認（MMBE / MB52 / MSPR）</t>
        </is>
      </c>
      <c r="D56" s="8" t="inlineStr">
        <is>
          <t>handson-3.html</t>
        </is>
      </c>
      <c r="E56" s="9" t="inlineStr">
        <is>
          <t>手順どおり操作し、「期待結果」の記載とシステムの状態が一致することを確認した</t>
        </is>
      </c>
      <c r="F56" s="8" t="n">
        <v>20</v>
      </c>
      <c r="G56" s="8" t="inlineStr"/>
      <c r="H56" s="7" t="inlineStr"/>
      <c r="I56" s="9" t="inlineStr"/>
    </row>
    <row r="57" ht="18" customHeight="1">
      <c r="A57" s="6" t="n">
        <v>55</v>
      </c>
      <c r="B57" s="4" t="inlineStr">
        <is>
          <t>F 練習③</t>
        </is>
      </c>
      <c r="C57" s="4" t="inlineStr">
        <is>
          <t>3-5 指図と WBS の状態確認</t>
        </is>
      </c>
      <c r="D57" s="6" t="inlineStr">
        <is>
          <t>handson-3.html</t>
        </is>
      </c>
      <c r="E57" s="4" t="inlineStr">
        <is>
          <t>手順どおり操作し、「期待結果」の記載とシステムの状態が一致することを確認した</t>
        </is>
      </c>
      <c r="F57" s="6" t="n">
        <v>20</v>
      </c>
      <c r="G57" s="6" t="inlineStr"/>
      <c r="H57" s="7" t="inlineStr"/>
      <c r="I57" s="4" t="inlineStr"/>
    </row>
    <row r="58" ht="18" customHeight="1">
      <c r="A58" s="8" t="n">
        <v>56</v>
      </c>
      <c r="B58" s="9" t="inlineStr">
        <is>
          <t>F 練習③（验收）</t>
        </is>
      </c>
      <c r="C58" s="9" t="inlineStr">
        <is>
          <t>指図を解放（REL）し、261 で部品 2 / 8 を出庫した（在庫 98 / 492）。</t>
        </is>
      </c>
      <c r="D58" s="8" t="inlineStr">
        <is>
          <t>handson-3.html</t>
        </is>
      </c>
      <c r="E58" s="9" t="inlineStr">
        <is>
          <t>指図を解放（REL）し、261 で部品 2 / 8 を出庫した（在庫 98 / 492）。</t>
        </is>
      </c>
      <c r="F58" s="8" t="n">
        <v>5</v>
      </c>
      <c r="G58" s="8" t="inlineStr"/>
      <c r="H58" s="7" t="inlineStr"/>
      <c r="I58" s="9" t="inlineStr"/>
    </row>
    <row r="59" ht="26" customHeight="1">
      <c r="A59" s="6" t="n">
        <v>57</v>
      </c>
      <c r="B59" s="4" t="inlineStr">
        <is>
          <t>F 練習③（验收）</t>
        </is>
      </c>
      <c r="C59" s="4" t="inlineStr">
        <is>
          <t>CO11N で歩留 1 を報告し、指図が CNF になった（ネットワーク利用時は CN25 も実施）。</t>
        </is>
      </c>
      <c r="D59" s="6" t="inlineStr">
        <is>
          <t>handson-3.html</t>
        </is>
      </c>
      <c r="E59" s="4" t="inlineStr">
        <is>
          <t>CO11N で歩留 1 を報告し、指図が CNF になった（ネットワーク利用時は CN25 も実施）。</t>
        </is>
      </c>
      <c r="F59" s="6" t="n">
        <v>5</v>
      </c>
      <c r="G59" s="6" t="inlineStr"/>
      <c r="H59" s="7" t="inlineStr"/>
      <c r="I59" s="4" t="inlineStr"/>
    </row>
    <row r="60" ht="26" customHeight="1">
      <c r="A60" s="8" t="n">
        <v>58</v>
      </c>
      <c r="B60" s="9" t="inlineStr">
        <is>
          <t>F 練習③（验收）</t>
        </is>
      </c>
      <c r="C60" s="9" t="inlineStr">
        <is>
          <t>MIGO 101 で 1 式をプロジェクト在庫（Q）へ入庫し、自由在庫が 0 のままであることを確認した。</t>
        </is>
      </c>
      <c r="D60" s="8" t="inlineStr">
        <is>
          <t>handson-3.html</t>
        </is>
      </c>
      <c r="E60" s="9" t="inlineStr">
        <is>
          <t>MIGO 101 で 1 式をプロジェクト在庫（Q）へ入庫し、自由在庫が 0 のままであることを確認した。</t>
        </is>
      </c>
      <c r="F60" s="8" t="n">
        <v>5</v>
      </c>
      <c r="G60" s="8" t="inlineStr"/>
      <c r="H60" s="7" t="inlineStr"/>
      <c r="I60" s="9" t="inlineStr"/>
    </row>
    <row r="61" ht="18" customHeight="1">
      <c r="A61" s="6" t="n">
        <v>59</v>
      </c>
      <c r="B61" s="4" t="inlineStr">
        <is>
          <t>F 練習③（验收）</t>
        </is>
      </c>
      <c r="C61" s="4" t="inlineStr">
        <is>
          <t>MMBE と SE16N: MSPR（SOBKZ = Q）で表レベルでも確認した。</t>
        </is>
      </c>
      <c r="D61" s="6" t="inlineStr">
        <is>
          <t>handson-3.html</t>
        </is>
      </c>
      <c r="E61" s="4" t="inlineStr">
        <is>
          <t>MMBE と SE16N: MSPR（SOBKZ = Q）で表レベルでも確認した。</t>
        </is>
      </c>
      <c r="F61" s="6" t="n">
        <v>5</v>
      </c>
      <c r="G61" s="6" t="inlineStr"/>
      <c r="H61" s="7" t="inlineStr"/>
      <c r="I61" s="4" t="inlineStr"/>
    </row>
    <row r="62" ht="18" customHeight="1">
      <c r="A62" s="8" t="n">
        <v>60</v>
      </c>
      <c r="B62" s="9" t="inlineStr">
        <is>
          <t>F 練習③（验收）</t>
        </is>
      </c>
      <c r="C62" s="9" t="inlineStr">
        <is>
          <t>（評価付なら）MMBE の金額欄で金額が付いていることを確認した。</t>
        </is>
      </c>
      <c r="D62" s="8" t="inlineStr">
        <is>
          <t>handson-3.html</t>
        </is>
      </c>
      <c r="E62" s="9" t="inlineStr">
        <is>
          <t>（評価付なら）MMBE の金額欄で金額が付いていることを確認した。</t>
        </is>
      </c>
      <c r="F62" s="8" t="n">
        <v>5</v>
      </c>
      <c r="G62" s="8" t="inlineStr"/>
      <c r="H62" s="7" t="inlineStr"/>
      <c r="I62" s="9" t="inlineStr"/>
    </row>
    <row r="63" ht="18" customHeight="1">
      <c r="A63" s="6" t="n">
        <v>61</v>
      </c>
      <c r="B63" s="4" t="inlineStr">
        <is>
          <t>F 練習③（验收）</t>
        </is>
      </c>
      <c r="C63" s="4" t="inlineStr">
        <is>
          <t>CJI3 で WBS .2 に実績が出ており、CJ31 の使用額が動いたことを説明できる。</t>
        </is>
      </c>
      <c r="D63" s="6" t="inlineStr">
        <is>
          <t>handson-3.html</t>
        </is>
      </c>
      <c r="E63" s="4" t="inlineStr">
        <is>
          <t>CJI3 で WBS .2 に実績が出ており、CJ31 の使用額が動いたことを説明できる。</t>
        </is>
      </c>
      <c r="F63" s="6" t="n">
        <v>5</v>
      </c>
      <c r="G63" s="6" t="inlineStr"/>
      <c r="H63" s="7" t="inlineStr"/>
      <c r="I63" s="4" t="inlineStr"/>
    </row>
    <row r="64" ht="18" customHeight="1">
      <c r="A64" s="8" t="n">
        <v>62</v>
      </c>
      <c r="B64" s="9" t="inlineStr">
        <is>
          <t>G 練習④</t>
        </is>
      </c>
      <c r="C64" s="9" t="inlineStr">
        <is>
          <t>4-1 出荷伝票の登録（VL01N）</t>
        </is>
      </c>
      <c r="D64" s="8" t="inlineStr">
        <is>
          <t>handson-4.html</t>
        </is>
      </c>
      <c r="E64" s="9" t="inlineStr">
        <is>
          <t>手順どおり操作し、「期待結果」の記載とシステムの状態が一致することを確認した</t>
        </is>
      </c>
      <c r="F64" s="8" t="n">
        <v>20</v>
      </c>
      <c r="G64" s="8" t="inlineStr"/>
      <c r="H64" s="7" t="inlineStr"/>
      <c r="I64" s="9" t="inlineStr"/>
    </row>
    <row r="65" ht="18" customHeight="1">
      <c r="A65" s="6" t="n">
        <v>63</v>
      </c>
      <c r="B65" s="4" t="inlineStr">
        <is>
          <t>G 練習④</t>
        </is>
      </c>
      <c r="C65" s="4" t="inlineStr">
        <is>
          <t>4-2 ピッキングと出庫確認（VL02N）</t>
        </is>
      </c>
      <c r="D65" s="6" t="inlineStr">
        <is>
          <t>handson-4.html</t>
        </is>
      </c>
      <c r="E65" s="4" t="inlineStr">
        <is>
          <t>手順どおり操作し、「期待結果」の記載とシステムの状態が一致することを確認した</t>
        </is>
      </c>
      <c r="F65" s="6" t="n">
        <v>20</v>
      </c>
      <c r="G65" s="6" t="inlineStr"/>
      <c r="H65" s="7" t="inlineStr"/>
      <c r="I65" s="4" t="inlineStr"/>
    </row>
    <row r="66" ht="18" customHeight="1">
      <c r="A66" s="8" t="n">
        <v>64</v>
      </c>
      <c r="B66" s="9" t="inlineStr">
        <is>
          <t>G 練習④</t>
        </is>
      </c>
      <c r="C66" s="9" t="inlineStr">
        <is>
          <t>4-3 請求（VF01：請求計画/出来高）</t>
        </is>
      </c>
      <c r="D66" s="8" t="inlineStr">
        <is>
          <t>handson-4.html</t>
        </is>
      </c>
      <c r="E66" s="9" t="inlineStr">
        <is>
          <t>手順どおり操作し、「期待結果」の記載とシステムの状態が一致することを確認した</t>
        </is>
      </c>
      <c r="F66" s="8" t="n">
        <v>20</v>
      </c>
      <c r="G66" s="8" t="inlineStr"/>
      <c r="H66" s="7" t="inlineStr"/>
      <c r="I66" s="9" t="inlineStr"/>
    </row>
    <row r="67" ht="18" customHeight="1">
      <c r="A67" s="6" t="n">
        <v>65</v>
      </c>
      <c r="B67" s="4" t="inlineStr">
        <is>
          <t>G 練習④</t>
        </is>
      </c>
      <c r="C67" s="4" t="inlineStr">
        <is>
          <t>4-4 WBS に売上と原価が集まったか（CJI3）——ETO の「答え合わせ」</t>
        </is>
      </c>
      <c r="D67" s="6" t="inlineStr">
        <is>
          <t>handson-4.html</t>
        </is>
      </c>
      <c r="E67" s="4" t="inlineStr">
        <is>
          <t>手順どおり操作し、「期待結果」の記載とシステムの状態が一致することを確認した</t>
        </is>
      </c>
      <c r="F67" s="6" t="n">
        <v>20</v>
      </c>
      <c r="G67" s="6" t="inlineStr"/>
      <c r="H67" s="7" t="inlineStr"/>
      <c r="I67" s="4" t="inlineStr"/>
    </row>
    <row r="68" ht="18" customHeight="1">
      <c r="A68" s="8" t="n">
        <v>66</v>
      </c>
      <c r="B68" s="9" t="inlineStr">
        <is>
          <t>G 練習④</t>
        </is>
      </c>
      <c r="C68" s="9" t="inlineStr">
        <is>
          <t>4-5 伝票フローで全リンクを確認（VA03 / VBFA）</t>
        </is>
      </c>
      <c r="D68" s="8" t="inlineStr">
        <is>
          <t>handson-4.html</t>
        </is>
      </c>
      <c r="E68" s="9" t="inlineStr">
        <is>
          <t>手順どおり操作し、「期待結果」の記載とシステムの状態が一致することを確認した</t>
        </is>
      </c>
      <c r="F68" s="8" t="n">
        <v>20</v>
      </c>
      <c r="G68" s="8" t="inlineStr"/>
      <c r="H68" s="7" t="inlineStr"/>
      <c r="I68" s="9" t="inlineStr"/>
    </row>
    <row r="69" ht="18" customHeight="1">
      <c r="A69" s="6" t="n">
        <v>67</v>
      </c>
      <c r="B69" s="4" t="inlineStr">
        <is>
          <t>G 練習④（验收）</t>
        </is>
      </c>
      <c r="C69" s="4" t="inlineStr">
        <is>
          <t>VL01N で受注から出荷伝票を作成し、在庫区分が Q・WBS 付きであることを確認した。</t>
        </is>
      </c>
      <c r="D69" s="6" t="inlineStr">
        <is>
          <t>handson-4.html</t>
        </is>
      </c>
      <c r="E69" s="4" t="inlineStr">
        <is>
          <t>VL01N で受注から出荷伝票を作成し、在庫区分が Q・WBS 付きであることを確認した。</t>
        </is>
      </c>
      <c r="F69" s="6" t="n">
        <v>5</v>
      </c>
      <c r="G69" s="6" t="inlineStr"/>
      <c r="H69" s="7" t="inlineStr"/>
      <c r="I69" s="4" t="inlineStr"/>
    </row>
    <row r="70" ht="26" customHeight="1">
      <c r="A70" s="8" t="n">
        <v>68</v>
      </c>
      <c r="B70" s="9" t="inlineStr">
        <is>
          <t>G 練習④（验收）</t>
        </is>
      </c>
      <c r="C70" s="9" t="inlineStr">
        <is>
          <t>VL02N でピッキング 1 を入力し、出庫確認（601）を実行して プロジェクト在庫 Q が 0 になった。</t>
        </is>
      </c>
      <c r="D70" s="8" t="inlineStr">
        <is>
          <t>handson-4.html</t>
        </is>
      </c>
      <c r="E70" s="9" t="inlineStr">
        <is>
          <t>VL02N でピッキング 1 を入力し、出庫確認（601）を実行して プロジェクト在庫 Q が 0 になった。</t>
        </is>
      </c>
      <c r="F70" s="8" t="n">
        <v>5</v>
      </c>
      <c r="G70" s="8" t="inlineStr"/>
      <c r="H70" s="7" t="inlineStr"/>
      <c r="I70" s="9" t="inlineStr"/>
    </row>
    <row r="71" ht="18" customHeight="1">
      <c r="A71" s="6" t="n">
        <v>69</v>
      </c>
      <c r="B71" s="4" t="inlineStr">
        <is>
          <t>G 練習④（验收）</t>
        </is>
      </c>
      <c r="C71" s="4" t="inlineStr">
        <is>
          <t>VF01 で請求を作成し（出荷ベースまたは請求計画）、VF03 で金額と条件を確認した。</t>
        </is>
      </c>
      <c r="D71" s="6" t="inlineStr">
        <is>
          <t>handson-4.html</t>
        </is>
      </c>
      <c r="E71" s="4" t="inlineStr">
        <is>
          <t>VF01 で請求を作成し（出荷ベースまたは請求計画）、VF03 で金額と条件を確認した。</t>
        </is>
      </c>
      <c r="F71" s="6" t="n">
        <v>5</v>
      </c>
      <c r="G71" s="6" t="inlineStr"/>
      <c r="H71" s="7" t="inlineStr"/>
      <c r="I71" s="4" t="inlineStr"/>
    </row>
    <row r="72" ht="18" customHeight="1">
      <c r="A72" s="8" t="n">
        <v>70</v>
      </c>
      <c r="B72" s="9" t="inlineStr">
        <is>
          <t>G 練習④（验收）</t>
        </is>
      </c>
      <c r="C72" s="9" t="inlineStr">
        <is>
          <t>FB03 で出庫・請求の会計伝票の借貸方向を説明できる。</t>
        </is>
      </c>
      <c r="D72" s="8" t="inlineStr">
        <is>
          <t>handson-4.html</t>
        </is>
      </c>
      <c r="E72" s="9" t="inlineStr">
        <is>
          <t>FB03 で出庫・請求の会計伝票の借貸方向を説明できる。</t>
        </is>
      </c>
      <c r="F72" s="8" t="n">
        <v>5</v>
      </c>
      <c r="G72" s="8" t="inlineStr"/>
      <c r="H72" s="7" t="inlineStr"/>
      <c r="I72" s="9" t="inlineStr"/>
    </row>
    <row r="73" ht="18" customHeight="1">
      <c r="A73" s="6" t="n">
        <v>71</v>
      </c>
      <c r="B73" s="4" t="inlineStr">
        <is>
          <t>G 練習④（验收）</t>
        </is>
      </c>
      <c r="C73" s="4" t="inlineStr">
        <is>
          <t>CJI3 で WBS .1 に収益・.2 に原価が出ていることを確認した。</t>
        </is>
      </c>
      <c r="D73" s="6" t="inlineStr">
        <is>
          <t>handson-4.html</t>
        </is>
      </c>
      <c r="E73" s="4" t="inlineStr">
        <is>
          <t>CJI3 で WBS .1 に収益・.2 に原価が出ていることを確認した。</t>
        </is>
      </c>
      <c r="F73" s="6" t="n">
        <v>5</v>
      </c>
      <c r="G73" s="6" t="inlineStr"/>
      <c r="H73" s="7" t="inlineStr"/>
      <c r="I73" s="4" t="inlineStr"/>
    </row>
    <row r="74" ht="18" customHeight="1">
      <c r="A74" s="8" t="n">
        <v>72</v>
      </c>
      <c r="B74" s="9" t="inlineStr">
        <is>
          <t>G 練習④（验收）</t>
        </is>
      </c>
      <c r="C74" s="9" t="inlineStr">
        <is>
          <t>VA03 の伝票フローで 受注→指図→入庫→出荷→出庫確認→請求 が全部つながっている。</t>
        </is>
      </c>
      <c r="D74" s="8" t="inlineStr">
        <is>
          <t>handson-4.html</t>
        </is>
      </c>
      <c r="E74" s="9" t="inlineStr">
        <is>
          <t>VA03 の伝票フローで 受注→指図→入庫→出荷→出庫確認→請求 が全部つながっている。</t>
        </is>
      </c>
      <c r="F74" s="8" t="n">
        <v>5</v>
      </c>
      <c r="G74" s="8" t="inlineStr"/>
      <c r="H74" s="7" t="inlineStr"/>
      <c r="I74" s="9" t="inlineStr"/>
    </row>
    <row r="75" ht="18" customHeight="1">
      <c r="A75" s="6" t="n">
        <v>73</v>
      </c>
      <c r="B75" s="4" t="inlineStr">
        <is>
          <t>H 練習⑤（発展・故障）</t>
        </is>
      </c>
      <c r="C75" s="4" t="inlineStr">
        <is>
          <t>発展 1：進捗と結果分析（WIP と収益を正しく出す）</t>
        </is>
      </c>
      <c r="D75" s="6" t="inlineStr">
        <is>
          <t>handson-5.html</t>
        </is>
      </c>
      <c r="E75" s="4" t="inlineStr">
        <is>
          <t>手順どおり操作し、「期待結果」の記載とシステムの状態が一致することを確認した</t>
        </is>
      </c>
      <c r="F75" s="6" t="n">
        <v>20</v>
      </c>
      <c r="G75" s="6" t="inlineStr"/>
      <c r="H75" s="7" t="inlineStr"/>
      <c r="I75" s="4" t="inlineStr"/>
    </row>
    <row r="76" ht="18" customHeight="1">
      <c r="A76" s="8" t="n">
        <v>74</v>
      </c>
      <c r="B76" s="9" t="inlineStr">
        <is>
          <t>H 練習⑤（発展・故障）</t>
        </is>
      </c>
      <c r="C76" s="9" t="inlineStr">
        <is>
          <t>発展 2：決済（原価を WBS へ確定させる）</t>
        </is>
      </c>
      <c r="D76" s="8" t="inlineStr">
        <is>
          <t>handson-5.html</t>
        </is>
      </c>
      <c r="E76" s="9" t="inlineStr">
        <is>
          <t>手順どおり操作し、「期待結果」の記載とシステムの状態が一致することを確認した</t>
        </is>
      </c>
      <c r="F76" s="8" t="n">
        <v>20</v>
      </c>
      <c r="G76" s="8" t="inlineStr"/>
      <c r="H76" s="7" t="inlineStr"/>
      <c r="I76" s="9" t="inlineStr"/>
    </row>
    <row r="77" ht="18" customHeight="1">
      <c r="A77" s="6" t="n">
        <v>75</v>
      </c>
      <c r="B77" s="4" t="inlineStr">
        <is>
          <t>H 練習⑤（発展・故障）</t>
        </is>
      </c>
      <c r="C77" s="4" t="inlineStr">
        <is>
          <t>発展 3：予算と可用性管理（超支会怎样）</t>
        </is>
      </c>
      <c r="D77" s="6" t="inlineStr">
        <is>
          <t>handson-5.html</t>
        </is>
      </c>
      <c r="E77" s="4" t="inlineStr">
        <is>
          <t>手順どおり操作し、「期待結果」の記載とシステムの状態が一致することを確認した</t>
        </is>
      </c>
      <c r="F77" s="6" t="n">
        <v>20</v>
      </c>
      <c r="G77" s="6" t="inlineStr"/>
      <c r="H77" s="7" t="inlineStr"/>
      <c r="I77" s="4" t="inlineStr"/>
    </row>
    <row r="78" ht="18" customHeight="1">
      <c r="A78" s="8" t="n">
        <v>76</v>
      </c>
      <c r="B78" s="9" t="inlineStr">
        <is>
          <t>H 練習⑤（発展・故障）</t>
        </is>
      </c>
      <c r="C78" s="9" t="inlineStr">
        <is>
          <t>発展 4：出来高請求（マイルストーン請求）</t>
        </is>
      </c>
      <c r="D78" s="8" t="inlineStr">
        <is>
          <t>handson-5.html</t>
        </is>
      </c>
      <c r="E78" s="9" t="inlineStr">
        <is>
          <t>手順どおり操作し、「期待結果」の記載とシステムの状態が一致することを確認した</t>
        </is>
      </c>
      <c r="F78" s="8" t="n">
        <v>20</v>
      </c>
      <c r="G78" s="8" t="inlineStr"/>
      <c r="H78" s="7" t="inlineStr"/>
      <c r="I78" s="9" t="inlineStr"/>
    </row>
    <row r="79" ht="18" customHeight="1">
      <c r="A79" s="6" t="n">
        <v>77</v>
      </c>
      <c r="B79" s="4" t="inlineStr">
        <is>
          <t>H 練習⑤（発展・故障）</t>
        </is>
      </c>
      <c r="C79" s="4" t="inlineStr">
        <is>
          <t>発展 5：ネットワーク中心の運用（工数と進捗）</t>
        </is>
      </c>
      <c r="D79" s="6" t="inlineStr">
        <is>
          <t>handson-5.html</t>
        </is>
      </c>
      <c r="E79" s="4" t="inlineStr">
        <is>
          <t>手順どおり操作し、「期待結果」の記載とシステムの状態が一致することを確認した</t>
        </is>
      </c>
      <c r="F79" s="6" t="n">
        <v>20</v>
      </c>
      <c r="G79" s="6" t="inlineStr"/>
      <c r="H79" s="7" t="inlineStr"/>
      <c r="I79" s="4" t="inlineStr"/>
    </row>
    <row r="80" ht="18" customHeight="1">
      <c r="A80" s="8" t="n">
        <v>78</v>
      </c>
      <c r="B80" s="9" t="inlineStr">
        <is>
          <t>H 練習⑤（発展・故障）</t>
        </is>
      </c>
      <c r="C80" s="9" t="inlineStr">
        <is>
          <t>発展 6：部品・外注を WBS で直接手配</t>
        </is>
      </c>
      <c r="D80" s="8" t="inlineStr">
        <is>
          <t>handson-5.html</t>
        </is>
      </c>
      <c r="E80" s="9" t="inlineStr">
        <is>
          <t>手順どおり操作し、「期待結果」の記載とシステムの状態が一致することを確認した</t>
        </is>
      </c>
      <c r="F80" s="8" t="n">
        <v>20</v>
      </c>
      <c r="G80" s="8" t="inlineStr"/>
      <c r="H80" s="7" t="inlineStr"/>
      <c r="I80" s="9" t="inlineStr"/>
    </row>
    <row r="81" ht="18" customHeight="1">
      <c r="A81" s="6" t="n">
        <v>79</v>
      </c>
      <c r="B81" s="4" t="inlineStr">
        <is>
          <t>H 練習⑤（発展・故障）（验收）</t>
        </is>
      </c>
      <c r="C81" s="4" t="inlineStr">
        <is>
          <t>発展 1〜6 のうち少なくとも 2 つを実機で実施し、結果を記録した。</t>
        </is>
      </c>
      <c r="D81" s="6" t="inlineStr">
        <is>
          <t>handson-5.html</t>
        </is>
      </c>
      <c r="E81" s="4" t="inlineStr">
        <is>
          <t>発展 1〜6 のうち少なくとも 2 つを実機で実施し、結果を記録した。</t>
        </is>
      </c>
      <c r="F81" s="6" t="n">
        <v>5</v>
      </c>
      <c r="G81" s="6" t="inlineStr"/>
      <c r="H81" s="7" t="inlineStr"/>
      <c r="I81" s="4" t="inlineStr"/>
    </row>
    <row r="82" ht="26" customHeight="1">
      <c r="A82" s="8" t="n">
        <v>80</v>
      </c>
      <c r="B82" s="9" t="inlineStr">
        <is>
          <t>H 練習⑤（発展・故障）（验收）</t>
        </is>
      </c>
      <c r="C82" s="9" t="inlineStr">
        <is>
          <t>CNE1（進捗）→ KKA2（結果分析）→ KKAX（WIP）の流れを 1 回実行し、金額の動きを説明できる。</t>
        </is>
      </c>
      <c r="D82" s="8" t="inlineStr">
        <is>
          <t>handson-5.html</t>
        </is>
      </c>
      <c r="E82" s="9" t="inlineStr">
        <is>
          <t>CNE1（進捗）→ KKA2（結果分析）→ KKAX（WIP）の流れを 1 回実行し、金額の動きを説明できる。</t>
        </is>
      </c>
      <c r="F82" s="8" t="n">
        <v>5</v>
      </c>
      <c r="G82" s="8" t="inlineStr"/>
      <c r="H82" s="7" t="inlineStr"/>
      <c r="I82" s="9" t="inlineStr"/>
    </row>
    <row r="83" ht="26" customHeight="1">
      <c r="A83" s="6" t="n">
        <v>81</v>
      </c>
      <c r="B83" s="4" t="inlineStr">
        <is>
          <t>H 練習⑤（発展・故障）（验收）</t>
        </is>
      </c>
      <c r="C83" s="4" t="inlineStr">
        <is>
          <t>KO88（指図）と CJ88（WBS）を 1 回実行し、決済前後の CJI3 の違いを説明できる。</t>
        </is>
      </c>
      <c r="D83" s="6" t="inlineStr">
        <is>
          <t>handson-5.html</t>
        </is>
      </c>
      <c r="E83" s="4" t="inlineStr">
        <is>
          <t>KO88（指図）と CJ88（WBS）を 1 回実行し、決済前後の CJI3 の違いを説明できる。</t>
        </is>
      </c>
      <c r="F83" s="6" t="n">
        <v>5</v>
      </c>
      <c r="G83" s="6" t="inlineStr"/>
      <c r="H83" s="7" t="inlineStr"/>
      <c r="I83" s="4" t="inlineStr"/>
    </row>
    <row r="84" ht="26" customHeight="1">
      <c r="A84" s="8" t="n">
        <v>82</v>
      </c>
      <c r="B84" s="9" t="inlineStr">
        <is>
          <t>H 練習⑤（発展・故障）（验收）</t>
        </is>
      </c>
      <c r="C84" s="9" t="inlineStr">
        <is>
          <t>予算超過時の挙動（警告/エラー）を実機で確認し、メッセージと対処（CJ34/CJ37）を記録した。</t>
        </is>
      </c>
      <c r="D84" s="8" t="inlineStr">
        <is>
          <t>handson-5.html</t>
        </is>
      </c>
      <c r="E84" s="9" t="inlineStr">
        <is>
          <t>予算超過時の挙動（警告/エラー）を実機で確認し、メッセージと対処（CJ34/CJ37）を記録した。</t>
        </is>
      </c>
      <c r="F84" s="8" t="n">
        <v>5</v>
      </c>
      <c r="G84" s="8" t="inlineStr"/>
      <c r="H84" s="7" t="inlineStr"/>
      <c r="I84" s="9" t="inlineStr"/>
    </row>
    <row r="85" ht="18" customHeight="1">
      <c r="A85" s="6" t="n">
        <v>83</v>
      </c>
      <c r="B85" s="4" t="inlineStr">
        <is>
          <t>H 練習⑤（発展・故障）（验收）</t>
        </is>
      </c>
      <c r="C85" s="4" t="inlineStr">
        <is>
          <t>出来高請求またはネットワーク運用（CN25/CAT2）のどちらかを試した。</t>
        </is>
      </c>
      <c r="D85" s="6" t="inlineStr">
        <is>
          <t>handson-5.html</t>
        </is>
      </c>
      <c r="E85" s="4" t="inlineStr">
        <is>
          <t>出来高請求またはネットワーク運用（CN25/CAT2）のどちらかを試した。</t>
        </is>
      </c>
      <c r="F85" s="6" t="n">
        <v>5</v>
      </c>
      <c r="G85" s="6" t="inlineStr"/>
      <c r="H85" s="7" t="inlineStr"/>
      <c r="I85" s="4" t="inlineStr"/>
    </row>
    <row r="86" ht="26" customHeight="1">
      <c r="A86" s="8" t="n">
        <v>84</v>
      </c>
      <c r="B86" s="9" t="inlineStr">
        <is>
          <t>H 練習⑤（発展・故障）（验收）</t>
        </is>
      </c>
      <c r="C86" s="9" t="inlineStr">
        <is>
          <t>故障対照表 18 項のうち、実際に遭遇したものを「症状／根因／証跡 T-code」の 3 点で説明できる。</t>
        </is>
      </c>
      <c r="D86" s="8" t="inlineStr">
        <is>
          <t>handson-5.html</t>
        </is>
      </c>
      <c r="E86" s="9" t="inlineStr">
        <is>
          <t>故障対照表 18 項のうち、実際に遭遇したものを「症状／根因／証跡 T-code」の 3 点で説明できる。</t>
        </is>
      </c>
      <c r="F86" s="8" t="n">
        <v>5</v>
      </c>
      <c r="G86" s="8" t="inlineStr"/>
      <c r="H86" s="7" t="inlineStr"/>
      <c r="I86" s="9" t="inlineStr"/>
    </row>
    <row r="87" ht="18" customHeight="1">
      <c r="A87" s="6" t="n">
        <v>85</v>
      </c>
      <c r="B87" s="4" t="inlineStr">
        <is>
          <t>I 受講者版</t>
        </is>
      </c>
      <c r="C87" s="4" t="inlineStr">
        <is>
          <t>ワークシート（worksheet.html）を埋める</t>
        </is>
      </c>
      <c r="D87" s="6" t="inlineStr">
        <is>
          <t>worksheet.html</t>
        </is>
      </c>
      <c r="E87" s="4" t="inlineStr">
        <is>
          <t>各シートを記入し、伝票番号・数値・故障記録が揃った</t>
        </is>
      </c>
      <c r="F87" s="6" t="n">
        <v>60</v>
      </c>
      <c r="G87" s="6" t="inlineStr"/>
      <c r="H87" s="7" t="inlineStr"/>
      <c r="I87" s="4" t="inlineStr"/>
    </row>
    <row r="88" ht="18" customHeight="1">
      <c r="A88" s="8" t="n">
        <v>86</v>
      </c>
      <c r="B88" s="9" t="inlineStr">
        <is>
          <t>J テスト</t>
        </is>
      </c>
      <c r="C88" s="9" t="inlineStr">
        <is>
          <t>能力测试（quiz.html）を受験する</t>
        </is>
      </c>
      <c r="D88" s="8" t="inlineStr">
        <is>
          <t>quiz.html</t>
        </is>
      </c>
      <c r="E88" s="9" t="inlineStr">
        <is>
          <t>合格ライン（75%）以上を取得した</t>
        </is>
      </c>
      <c r="F88" s="8" t="n">
        <v>30</v>
      </c>
      <c r="G88" s="8" t="inlineStr"/>
      <c r="H88" s="7" t="inlineStr"/>
      <c r="I88" s="9" t="inlineStr"/>
    </row>
    <row r="89" ht="18" customHeight="1">
      <c r="A89" s="6" t="n">
        <v>87</v>
      </c>
      <c r="B89" s="4" t="inlineStr">
        <is>
          <t>J テスト</t>
        </is>
      </c>
      <c r="C89" s="4" t="inlineStr">
        <is>
          <t>修了チェック（到達点）を通す</t>
        </is>
      </c>
      <c r="D89" s="6" t="inlineStr">
        <is>
          <t>quiz.html</t>
        </is>
      </c>
      <c r="E89" s="4" t="inlineStr">
        <is>
          <t>修了チェックリストの全項目にチェックが付いた</t>
        </is>
      </c>
      <c r="F89" s="6" t="n">
        <v>30</v>
      </c>
      <c r="G89" s="6" t="inlineStr"/>
      <c r="H89" s="7" t="inlineStr"/>
      <c r="I89" s="4" t="inlineStr"/>
    </row>
  </sheetData>
  <autoFilter ref="A2:I89"/>
  <mergeCells count="1">
    <mergeCell ref="A1:I1"/>
  </mergeCells>
  <dataValidations count="1">
    <dataValidation sqref="H3:H89" showDropDown="0" showInputMessage="0" showErrorMessage="0" allowBlank="1" error="○ / △ / × のいずれかを入力してください" promptTitle="自己判定" prompt="○ = できた / △ = 一部 / × = できない" type="list">
      <formula1>"○,△,×"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 ht="26" customHeight="1">
      <c r="A1" s="1" t="inlineStr">
        <is>
          <t>進捗サマリ（1_学習WBS の自己判定から自動集計）</t>
        </is>
      </c>
    </row>
    <row r="2">
      <c r="A2" s="5" t="inlineStr">
        <is>
          <t>フェーズ</t>
        </is>
      </c>
      <c r="B2" s="5" t="inlineStr">
        <is>
          <t>タスク数</t>
        </is>
      </c>
      <c r="C2" s="5" t="inlineStr">
        <is>
          <t>○</t>
        </is>
      </c>
      <c r="D2" s="5" t="inlineStr">
        <is>
          <t>△</t>
        </is>
      </c>
      <c r="E2" s="5" t="inlineStr">
        <is>
          <t>×</t>
        </is>
      </c>
      <c r="F2" s="5" t="inlineStr">
        <is>
          <t>完了率</t>
        </is>
      </c>
    </row>
    <row r="3">
      <c r="A3" s="4" t="inlineStr">
        <is>
          <t>A 総覧</t>
        </is>
      </c>
      <c r="B3" s="6">
        <f>COUNTIF('1_学習WBS'!$B$3:$B$89,$A3)</f>
        <v/>
      </c>
      <c r="C3" s="6">
        <f>COUNTIFS('1_学習WBS'!$B$3:$B$89,$A3,'1_学習WBS'!$H$3:$H$89,"○")</f>
        <v/>
      </c>
      <c r="D3" s="6">
        <f>COUNTIFS('1_学習WBS'!$B$3:$B$89,$A3,'1_学習WBS'!$H$3:$H$89,"△")</f>
        <v/>
      </c>
      <c r="E3" s="6">
        <f>COUNTIFS('1_学習WBS'!$B$3:$B$89,$A3,'1_学習WBS'!$H$3:$H$89,"×")</f>
        <v/>
      </c>
      <c r="F3" s="10">
        <f>IF(B3=0,"",ROUND(C3/B3*100,0)&amp;" %")</f>
        <v/>
      </c>
    </row>
    <row r="4">
      <c r="A4" s="4" t="inlineStr">
        <is>
          <t>B 概念と設計</t>
        </is>
      </c>
      <c r="B4" s="6">
        <f>COUNTIF('1_学習WBS'!$B$3:$B$89,$A4)</f>
        <v/>
      </c>
      <c r="C4" s="6">
        <f>COUNTIFS('1_学習WBS'!$B$3:$B$89,$A4,'1_学習WBS'!$H$3:$H$89,"○")</f>
        <v/>
      </c>
      <c r="D4" s="6">
        <f>COUNTIFS('1_学習WBS'!$B$3:$B$89,$A4,'1_学習WBS'!$H$3:$H$89,"△")</f>
        <v/>
      </c>
      <c r="E4" s="6">
        <f>COUNTIFS('1_学習WBS'!$B$3:$B$89,$A4,'1_学習WBS'!$H$3:$H$89,"×")</f>
        <v/>
      </c>
      <c r="F4" s="10">
        <f>IF(B4=0,"",ROUND(C4/B4*100,0)&amp;" %")</f>
        <v/>
      </c>
    </row>
    <row r="5">
      <c r="A5" s="4" t="inlineStr">
        <is>
          <t>C 配置（SPRO / マスタ）</t>
        </is>
      </c>
      <c r="B5" s="6">
        <f>COUNTIF('1_学習WBS'!$B$3:$B$89,$A5)</f>
        <v/>
      </c>
      <c r="C5" s="6">
        <f>COUNTIFS('1_学習WBS'!$B$3:$B$89,$A5,'1_学習WBS'!$H$3:$H$89,"○")</f>
        <v/>
      </c>
      <c r="D5" s="6">
        <f>COUNTIFS('1_学習WBS'!$B$3:$B$89,$A5,'1_学習WBS'!$H$3:$H$89,"△")</f>
        <v/>
      </c>
      <c r="E5" s="6">
        <f>COUNTIFS('1_学習WBS'!$B$3:$B$89,$A5,'1_学習WBS'!$H$3:$H$89,"×")</f>
        <v/>
      </c>
      <c r="F5" s="10">
        <f>IF(B5=0,"",ROUND(C5/B5*100,0)&amp;" %")</f>
        <v/>
      </c>
    </row>
    <row r="6">
      <c r="A6" s="4" t="inlineStr">
        <is>
          <t>D 練習①</t>
        </is>
      </c>
      <c r="B6" s="6">
        <f>COUNTIF('1_学習WBS'!$B$3:$B$89,$A6)</f>
        <v/>
      </c>
      <c r="C6" s="6">
        <f>COUNTIFS('1_学習WBS'!$B$3:$B$89,$A6,'1_学習WBS'!$H$3:$H$89,"○")</f>
        <v/>
      </c>
      <c r="D6" s="6">
        <f>COUNTIFS('1_学習WBS'!$B$3:$B$89,$A6,'1_学習WBS'!$H$3:$H$89,"△")</f>
        <v/>
      </c>
      <c r="E6" s="6">
        <f>COUNTIFS('1_学習WBS'!$B$3:$B$89,$A6,'1_学習WBS'!$H$3:$H$89,"×")</f>
        <v/>
      </c>
      <c r="F6" s="10">
        <f>IF(B6=0,"",ROUND(C6/B6*100,0)&amp;" %")</f>
        <v/>
      </c>
    </row>
    <row r="7">
      <c r="A7" s="4" t="inlineStr">
        <is>
          <t>D 練習①（验收）</t>
        </is>
      </c>
      <c r="B7" s="6">
        <f>COUNTIF('1_学習WBS'!$B$3:$B$89,$A7)</f>
        <v/>
      </c>
      <c r="C7" s="6">
        <f>COUNTIFS('1_学習WBS'!$B$3:$B$89,$A7,'1_学習WBS'!$H$3:$H$89,"○")</f>
        <v/>
      </c>
      <c r="D7" s="6">
        <f>COUNTIFS('1_学習WBS'!$B$3:$B$89,$A7,'1_学習WBS'!$H$3:$H$89,"△")</f>
        <v/>
      </c>
      <c r="E7" s="6">
        <f>COUNTIFS('1_学習WBS'!$B$3:$B$89,$A7,'1_学習WBS'!$H$3:$H$89,"×")</f>
        <v/>
      </c>
      <c r="F7" s="10">
        <f>IF(B7=0,"",ROUND(C7/B7*100,0)&amp;" %")</f>
        <v/>
      </c>
    </row>
    <row r="8">
      <c r="A8" s="4" t="inlineStr">
        <is>
          <t>E 練習②</t>
        </is>
      </c>
      <c r="B8" s="6">
        <f>COUNTIF('1_学習WBS'!$B$3:$B$89,$A8)</f>
        <v/>
      </c>
      <c r="C8" s="6">
        <f>COUNTIFS('1_学習WBS'!$B$3:$B$89,$A8,'1_学習WBS'!$H$3:$H$89,"○")</f>
        <v/>
      </c>
      <c r="D8" s="6">
        <f>COUNTIFS('1_学習WBS'!$B$3:$B$89,$A8,'1_学習WBS'!$H$3:$H$89,"△")</f>
        <v/>
      </c>
      <c r="E8" s="6">
        <f>COUNTIFS('1_学習WBS'!$B$3:$B$89,$A8,'1_学習WBS'!$H$3:$H$89,"×")</f>
        <v/>
      </c>
      <c r="F8" s="10">
        <f>IF(B8=0,"",ROUND(C8/B8*100,0)&amp;" %")</f>
        <v/>
      </c>
    </row>
    <row r="9">
      <c r="A9" s="4" t="inlineStr">
        <is>
          <t>E 練習②（验收）</t>
        </is>
      </c>
      <c r="B9" s="6">
        <f>COUNTIF('1_学習WBS'!$B$3:$B$89,$A9)</f>
        <v/>
      </c>
      <c r="C9" s="6">
        <f>COUNTIFS('1_学習WBS'!$B$3:$B$89,$A9,'1_学習WBS'!$H$3:$H$89,"○")</f>
        <v/>
      </c>
      <c r="D9" s="6">
        <f>COUNTIFS('1_学習WBS'!$B$3:$B$89,$A9,'1_学習WBS'!$H$3:$H$89,"△")</f>
        <v/>
      </c>
      <c r="E9" s="6">
        <f>COUNTIFS('1_学習WBS'!$B$3:$B$89,$A9,'1_学習WBS'!$H$3:$H$89,"×")</f>
        <v/>
      </c>
      <c r="F9" s="10">
        <f>IF(B9=0,"",ROUND(C9/B9*100,0)&amp;" %")</f>
        <v/>
      </c>
    </row>
    <row r="10">
      <c r="A10" s="4" t="inlineStr">
        <is>
          <t>F 練習③</t>
        </is>
      </c>
      <c r="B10" s="6">
        <f>COUNTIF('1_学習WBS'!$B$3:$B$89,$A10)</f>
        <v/>
      </c>
      <c r="C10" s="6">
        <f>COUNTIFS('1_学習WBS'!$B$3:$B$89,$A10,'1_学習WBS'!$H$3:$H$89,"○")</f>
        <v/>
      </c>
      <c r="D10" s="6">
        <f>COUNTIFS('1_学習WBS'!$B$3:$B$89,$A10,'1_学習WBS'!$H$3:$H$89,"△")</f>
        <v/>
      </c>
      <c r="E10" s="6">
        <f>COUNTIFS('1_学習WBS'!$B$3:$B$89,$A10,'1_学習WBS'!$H$3:$H$89,"×")</f>
        <v/>
      </c>
      <c r="F10" s="10">
        <f>IF(B10=0,"",ROUND(C10/B10*100,0)&amp;" %")</f>
        <v/>
      </c>
    </row>
    <row r="11">
      <c r="A11" s="4" t="inlineStr">
        <is>
          <t>F 練習③（验收）</t>
        </is>
      </c>
      <c r="B11" s="6">
        <f>COUNTIF('1_学習WBS'!$B$3:$B$89,$A11)</f>
        <v/>
      </c>
      <c r="C11" s="6">
        <f>COUNTIFS('1_学習WBS'!$B$3:$B$89,$A11,'1_学習WBS'!$H$3:$H$89,"○")</f>
        <v/>
      </c>
      <c r="D11" s="6">
        <f>COUNTIFS('1_学習WBS'!$B$3:$B$89,$A11,'1_学習WBS'!$H$3:$H$89,"△")</f>
        <v/>
      </c>
      <c r="E11" s="6">
        <f>COUNTIFS('1_学習WBS'!$B$3:$B$89,$A11,'1_学習WBS'!$H$3:$H$89,"×")</f>
        <v/>
      </c>
      <c r="F11" s="10">
        <f>IF(B11=0,"",ROUND(C11/B11*100,0)&amp;" %")</f>
        <v/>
      </c>
    </row>
    <row r="12">
      <c r="A12" s="4" t="inlineStr">
        <is>
          <t>G 練習④</t>
        </is>
      </c>
      <c r="B12" s="6">
        <f>COUNTIF('1_学習WBS'!$B$3:$B$89,$A12)</f>
        <v/>
      </c>
      <c r="C12" s="6">
        <f>COUNTIFS('1_学習WBS'!$B$3:$B$89,$A12,'1_学習WBS'!$H$3:$H$89,"○")</f>
        <v/>
      </c>
      <c r="D12" s="6">
        <f>COUNTIFS('1_学習WBS'!$B$3:$B$89,$A12,'1_学習WBS'!$H$3:$H$89,"△")</f>
        <v/>
      </c>
      <c r="E12" s="6">
        <f>COUNTIFS('1_学習WBS'!$B$3:$B$89,$A12,'1_学習WBS'!$H$3:$H$89,"×")</f>
        <v/>
      </c>
      <c r="F12" s="10">
        <f>IF(B12=0,"",ROUND(C12/B12*100,0)&amp;" %")</f>
        <v/>
      </c>
    </row>
    <row r="13">
      <c r="A13" s="4" t="inlineStr">
        <is>
          <t>G 練習④（验收）</t>
        </is>
      </c>
      <c r="B13" s="6">
        <f>COUNTIF('1_学習WBS'!$B$3:$B$89,$A13)</f>
        <v/>
      </c>
      <c r="C13" s="6">
        <f>COUNTIFS('1_学習WBS'!$B$3:$B$89,$A13,'1_学習WBS'!$H$3:$H$89,"○")</f>
        <v/>
      </c>
      <c r="D13" s="6">
        <f>COUNTIFS('1_学習WBS'!$B$3:$B$89,$A13,'1_学習WBS'!$H$3:$H$89,"△")</f>
        <v/>
      </c>
      <c r="E13" s="6">
        <f>COUNTIFS('1_学習WBS'!$B$3:$B$89,$A13,'1_学習WBS'!$H$3:$H$89,"×")</f>
        <v/>
      </c>
      <c r="F13" s="10">
        <f>IF(B13=0,"",ROUND(C13/B13*100,0)&amp;" %")</f>
        <v/>
      </c>
    </row>
    <row r="14">
      <c r="A14" s="4" t="inlineStr">
        <is>
          <t>H 練習⑤（発展・故障）</t>
        </is>
      </c>
      <c r="B14" s="6">
        <f>COUNTIF('1_学習WBS'!$B$3:$B$89,$A14)</f>
        <v/>
      </c>
      <c r="C14" s="6">
        <f>COUNTIFS('1_学習WBS'!$B$3:$B$89,$A14,'1_学習WBS'!$H$3:$H$89,"○")</f>
        <v/>
      </c>
      <c r="D14" s="6">
        <f>COUNTIFS('1_学習WBS'!$B$3:$B$89,$A14,'1_学習WBS'!$H$3:$H$89,"△")</f>
        <v/>
      </c>
      <c r="E14" s="6">
        <f>COUNTIFS('1_学習WBS'!$B$3:$B$89,$A14,'1_学習WBS'!$H$3:$H$89,"×")</f>
        <v/>
      </c>
      <c r="F14" s="10">
        <f>IF(B14=0,"",ROUND(C14/B14*100,0)&amp;" %")</f>
        <v/>
      </c>
    </row>
    <row r="15">
      <c r="A15" s="4" t="inlineStr">
        <is>
          <t>H 練習⑤（発展・故障）（验收）</t>
        </is>
      </c>
      <c r="B15" s="6">
        <f>COUNTIF('1_学習WBS'!$B$3:$B$89,$A15)</f>
        <v/>
      </c>
      <c r="C15" s="6">
        <f>COUNTIFS('1_学習WBS'!$B$3:$B$89,$A15,'1_学習WBS'!$H$3:$H$89,"○")</f>
        <v/>
      </c>
      <c r="D15" s="6">
        <f>COUNTIFS('1_学習WBS'!$B$3:$B$89,$A15,'1_学習WBS'!$H$3:$H$89,"△")</f>
        <v/>
      </c>
      <c r="E15" s="6">
        <f>COUNTIFS('1_学習WBS'!$B$3:$B$89,$A15,'1_学習WBS'!$H$3:$H$89,"×")</f>
        <v/>
      </c>
      <c r="F15" s="10">
        <f>IF(B15=0,"",ROUND(C15/B15*100,0)&amp;" %")</f>
        <v/>
      </c>
    </row>
    <row r="16">
      <c r="A16" s="4" t="inlineStr">
        <is>
          <t>I 受講者版</t>
        </is>
      </c>
      <c r="B16" s="6">
        <f>COUNTIF('1_学習WBS'!$B$3:$B$89,$A16)</f>
        <v/>
      </c>
      <c r="C16" s="6">
        <f>COUNTIFS('1_学習WBS'!$B$3:$B$89,$A16,'1_学習WBS'!$H$3:$H$89,"○")</f>
        <v/>
      </c>
      <c r="D16" s="6">
        <f>COUNTIFS('1_学習WBS'!$B$3:$B$89,$A16,'1_学習WBS'!$H$3:$H$89,"△")</f>
        <v/>
      </c>
      <c r="E16" s="6">
        <f>COUNTIFS('1_学習WBS'!$B$3:$B$89,$A16,'1_学習WBS'!$H$3:$H$89,"×")</f>
        <v/>
      </c>
      <c r="F16" s="10">
        <f>IF(B16=0,"",ROUND(C16/B16*100,0)&amp;" %")</f>
        <v/>
      </c>
    </row>
    <row r="17">
      <c r="A17" s="4" t="inlineStr">
        <is>
          <t>J テスト</t>
        </is>
      </c>
      <c r="B17" s="6">
        <f>COUNTIF('1_学習WBS'!$B$3:$B$89,$A17)</f>
        <v/>
      </c>
      <c r="C17" s="6">
        <f>COUNTIFS('1_学習WBS'!$B$3:$B$89,$A17,'1_学習WBS'!$H$3:$H$89,"○")</f>
        <v/>
      </c>
      <c r="D17" s="6">
        <f>COUNTIFS('1_学習WBS'!$B$3:$B$89,$A17,'1_学習WBS'!$H$3:$H$89,"△")</f>
        <v/>
      </c>
      <c r="E17" s="6">
        <f>COUNTIFS('1_学習WBS'!$B$3:$B$89,$A17,'1_学習WBS'!$H$3:$H$89,"×")</f>
        <v/>
      </c>
      <c r="F17" s="10">
        <f>IF(B17=0,"",ROUND(C17/B17*100,0)&amp;" %")</f>
        <v/>
      </c>
    </row>
    <row r="18">
      <c r="A18" s="11" t="inlineStr">
        <is>
          <t>合計 / 全体</t>
        </is>
      </c>
      <c r="B18" s="12">
        <f>SUM(B3:B17)</f>
        <v/>
      </c>
      <c r="C18" s="12">
        <f>SUM(C3:C17)</f>
        <v/>
      </c>
      <c r="D18" s="12">
        <f>SUM(D3:D17)</f>
        <v/>
      </c>
      <c r="E18" s="12">
        <f>SUM(E3:E17)</f>
        <v/>
      </c>
      <c r="F18" s="12">
        <f>IF(B18=0,"",ROUND(C18/B18*100,0)&amp;" %")</f>
        <v/>
      </c>
    </row>
    <row r="20">
      <c r="A20" s="13" t="inlineStr">
        <is>
          <t>実施合計時間（分）</t>
        </is>
      </c>
      <c r="B20" s="14">
        <f>SUM('1_学習WBS'!$F$3:$F$89)</f>
        <v/>
      </c>
    </row>
    <row r="21">
      <c r="A21" s="13" t="inlineStr">
        <is>
          <t>○ のみの合計時間（分）</t>
        </is>
      </c>
      <c r="B21" s="14">
        <f>SUMIFS('1_学習WBS'!$F$3:$F$89,'1_学習WBS'!$H$3:$H$89,"○")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30" customWidth="1" min="4" max="4"/>
    <col width="12" customWidth="1" min="5" max="5"/>
    <col width="34" customWidth="1" min="6" max="6"/>
  </cols>
  <sheetData>
    <row r="1" ht="26" customHeight="1">
      <c r="A1" s="1" t="inlineStr">
        <is>
          <t>実機記録（伝票番号・数値・証跡）— 講師の確認対象</t>
        </is>
      </c>
    </row>
    <row r="2">
      <c r="A2" s="5" t="inlineStr">
        <is>
          <t>#</t>
        </is>
      </c>
      <c r="B2" s="5" t="inlineStr">
        <is>
          <t>記録項目</t>
        </is>
      </c>
      <c r="C2" s="5" t="inlineStr">
        <is>
          <t>期待値・見方</t>
        </is>
      </c>
      <c r="D2" s="5" t="inlineStr">
        <is>
          <t>実測値 / 伝票番号</t>
        </is>
      </c>
      <c r="E2" s="5" t="inlineStr">
        <is>
          <t>実施日</t>
        </is>
      </c>
      <c r="F2" s="5" t="inlineStr">
        <is>
          <t>証跡メモ</t>
        </is>
      </c>
    </row>
    <row r="3" ht="22" customHeight="1">
      <c r="A3" s="6" t="n">
        <v>1</v>
      </c>
      <c r="B3" s="4" t="inlineStr">
        <is>
          <t>プロジェクト定義 ID（CJ20N）</t>
        </is>
      </c>
      <c r="C3" s="4" t="inlineStr">
        <is>
          <t>例 ZETO-1000</t>
        </is>
      </c>
      <c r="D3" s="15" t="n"/>
      <c r="E3" s="16" t="n"/>
      <c r="F3" s="15" t="n"/>
    </row>
    <row r="4" ht="22" customHeight="1">
      <c r="A4" s="6" t="n">
        <v>2</v>
      </c>
      <c r="B4" s="4" t="inlineStr">
        <is>
          <t>WBS 要素（請求要素 / 勘定設定要素）</t>
        </is>
      </c>
      <c r="C4" s="4" t="inlineStr">
        <is>
          <t>3 件（.1 請求要素、.2/.3 勘定設定要素）</t>
        </is>
      </c>
      <c r="D4" s="15" t="n"/>
      <c r="E4" s="16" t="n"/>
      <c r="F4" s="15" t="n"/>
    </row>
    <row r="5" ht="22" customHeight="1">
      <c r="A5" s="6" t="n">
        <v>3</v>
      </c>
      <c r="B5" s="4" t="inlineStr">
        <is>
          <t>ネットワーク番号（CN21）</t>
        </is>
      </c>
      <c r="C5" s="4" t="inlineStr">
        <is>
          <t>活動 2 件以上</t>
        </is>
      </c>
      <c r="D5" s="15" t="n"/>
      <c r="E5" s="16" t="n"/>
      <c r="F5" s="15" t="n"/>
    </row>
    <row r="6" ht="22" customHeight="1">
      <c r="A6" s="6" t="n">
        <v>4</v>
      </c>
      <c r="B6" s="4" t="inlineStr">
        <is>
          <t>受注番号（VA01 ＋ 明細 WBS）</t>
        </is>
      </c>
      <c r="C6" s="4" t="inlineStr">
        <is>
          <t>明細に WBS が入っていること</t>
        </is>
      </c>
      <c r="D6" s="15" t="n"/>
      <c r="E6" s="16" t="n"/>
      <c r="F6" s="15" t="n"/>
    </row>
    <row r="7" ht="22" customHeight="1">
      <c r="A7" s="6" t="n">
        <v>5</v>
      </c>
      <c r="B7" s="4" t="inlineStr">
        <is>
          <t>計画手配の勘定設定 / 在庫区分（MD04）</t>
        </is>
      </c>
      <c r="C7" s="4" t="inlineStr">
        <is>
          <t>勘定設定 = WBS、在庫区分 = Q</t>
        </is>
      </c>
      <c r="D7" s="15" t="n"/>
      <c r="E7" s="16" t="n"/>
      <c r="F7" s="15" t="n"/>
    </row>
    <row r="8" ht="22" customHeight="1">
      <c r="A8" s="6" t="n">
        <v>6</v>
      </c>
      <c r="B8" s="4" t="inlineStr">
        <is>
          <t>製造指図番号（CO40 / CO08）</t>
        </is>
      </c>
      <c r="C8" s="4" t="inlineStr">
        <is>
          <t>勘定設定 = WBS（AUFK-PS_PSP_PNR）</t>
        </is>
      </c>
      <c r="D8" s="15" t="n"/>
      <c r="E8" s="16" t="n"/>
      <c r="F8" s="15" t="n"/>
    </row>
    <row r="9" ht="22" customHeight="1">
      <c r="A9" s="6" t="n">
        <v>7</v>
      </c>
      <c r="B9" s="4" t="inlineStr">
        <is>
          <t>プロジェクト在庫 Q の数量（MMBE / MSPR）</t>
        </is>
      </c>
      <c r="C9" s="4" t="inlineStr">
        <is>
          <t>入庫で受注数量、出荷で 0</t>
        </is>
      </c>
      <c r="D9" s="15" t="n"/>
      <c r="E9" s="16" t="n"/>
      <c r="F9" s="15" t="n"/>
    </row>
    <row r="10" ht="22" customHeight="1">
      <c r="A10" s="6" t="n">
        <v>8</v>
      </c>
      <c r="B10" s="4" t="inlineStr">
        <is>
          <t>出荷伝票番号（VL01N）＋ PGI</t>
        </is>
      </c>
      <c r="C10" s="4" t="inlineStr">
        <is>
          <t>在庫区分 Q、移動タイプ 601</t>
        </is>
      </c>
      <c r="D10" s="15" t="n"/>
      <c r="E10" s="16" t="n"/>
      <c r="F10" s="15" t="n"/>
    </row>
    <row r="11" ht="22" customHeight="1">
      <c r="A11" s="6" t="n">
        <v>9</v>
      </c>
      <c r="B11" s="4" t="inlineStr">
        <is>
          <t>請求書番号（VF01 / 請求計画）</t>
        </is>
      </c>
      <c r="C11" s="4" t="inlineStr">
        <is>
          <t>30% / 70% の 2 枚（または出荷ベース 1 枚）</t>
        </is>
      </c>
      <c r="D11" s="15" t="n"/>
      <c r="E11" s="16" t="n"/>
      <c r="F11" s="15" t="n"/>
    </row>
    <row r="12" ht="22" customHeight="1">
      <c r="A12" s="6" t="n">
        <v>10</v>
      </c>
      <c r="B12" s="4" t="inlineStr">
        <is>
          <t>CJI3 の収益（請求要素へ）</t>
        </is>
      </c>
      <c r="C12" s="4" t="inlineStr">
        <is>
          <t>請求金額と一致</t>
        </is>
      </c>
      <c r="D12" s="15" t="n"/>
      <c r="E12" s="16" t="n"/>
      <c r="F12" s="15" t="n"/>
    </row>
    <row r="13" ht="22" customHeight="1">
      <c r="A13" s="6" t="n">
        <v>11</v>
      </c>
      <c r="B13" s="4" t="inlineStr">
        <is>
          <t>CJI3 の原価（勘定設定要素へ）</t>
        </is>
      </c>
      <c r="C13" s="4" t="inlineStr">
        <is>
          <t>材料費・労務費など</t>
        </is>
      </c>
      <c r="D13" s="15" t="n"/>
      <c r="E13" s="16" t="n"/>
      <c r="F13" s="15" t="n"/>
    </row>
    <row r="14" ht="22" customHeight="1">
      <c r="A14" s="6" t="n">
        <v>12</v>
      </c>
      <c r="B14" s="4" t="inlineStr">
        <is>
          <t>予算と実績（CJ31 / CJI3）</t>
        </is>
      </c>
      <c r="C14" s="4" t="inlineStr">
        <is>
          <t>元予算・予算・実績・可用残</t>
        </is>
      </c>
      <c r="D14" s="15" t="n"/>
      <c r="E14" s="16" t="n"/>
      <c r="F14" s="15" t="n"/>
    </row>
    <row r="15" ht="22" customHeight="1">
      <c r="A15" s="6" t="n">
        <v>13</v>
      </c>
      <c r="B15" s="4" t="inlineStr">
        <is>
          <t>進捗率と結果分析（CNE1 / KKA2 / KKAX）</t>
        </is>
      </c>
      <c r="C15" s="4" t="inlineStr">
        <is>
          <t>認識収益 / WIP の金額</t>
        </is>
      </c>
      <c r="D15" s="15" t="n"/>
      <c r="E15" s="16" t="n"/>
      <c r="F15" s="15" t="n"/>
    </row>
    <row r="16" ht="22" customHeight="1">
      <c r="A16" s="6" t="n">
        <v>14</v>
      </c>
      <c r="B16" s="4" t="inlineStr">
        <is>
          <t>決済（CJ88 / KO88 / VA88）と CJIC</t>
        </is>
      </c>
      <c r="C16" s="4" t="inlineStr">
        <is>
          <t>振替先（差異・WIP・原価）を記録</t>
        </is>
      </c>
      <c r="D16" s="15" t="n"/>
      <c r="E16" s="16" t="n"/>
      <c r="F16" s="15" t="n"/>
    </row>
    <row r="17" ht="22" customHeight="1">
      <c r="A17" s="6" t="n">
        <v>15</v>
      </c>
      <c r="B17" s="4" t="inlineStr">
        <is>
          <t>伝票フロー（VA03）に揃った伝票</t>
        </is>
      </c>
      <c r="C17" s="4" t="inlineStr">
        <is>
          <t>受注 → 指図 → 入庫 → 出庫 → 出荷 → 請求 → 会計 の連鎖</t>
        </is>
      </c>
      <c r="D17" s="15" t="n"/>
      <c r="E17" s="16" t="n"/>
      <c r="F17" s="15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  <col width="14" customWidth="1" min="3" max="3"/>
  </cols>
  <sheetData>
    <row r="1" ht="26" customHeight="1">
      <c r="A1" s="1" t="inlineStr">
        <is>
          <t>修了判定（到達点チェックと講師確認）</t>
        </is>
      </c>
    </row>
    <row r="2">
      <c r="A2" s="5" t="inlineStr">
        <is>
          <t>#</t>
        </is>
      </c>
      <c r="B2" s="5" t="inlineStr">
        <is>
          <t>到達点（これが言えたら本教材は修了）</t>
        </is>
      </c>
      <c r="C2" s="5" t="inlineStr">
        <is>
          <t>チェック</t>
        </is>
      </c>
    </row>
    <row r="3" ht="20" customHeight="1">
      <c r="A3" s="6" t="n">
        <v>1</v>
      </c>
      <c r="B3" s="4" t="inlineStr">
        <is>
          <t>4 点セットを自分で揃え、Q の在庫が MSPR に出ることを確認した</t>
        </is>
      </c>
      <c r="C3" s="16" t="inlineStr"/>
    </row>
    <row r="4" ht="20" customHeight="1">
      <c r="A4" s="6" t="n">
        <v>2</v>
      </c>
      <c r="B4" s="4" t="inlineStr">
        <is>
          <t>受注明細に WBS を割り当て、収益が請求要素に立つことを CJI3 で確認した</t>
        </is>
      </c>
      <c r="C4" s="16" t="inlineStr"/>
    </row>
    <row r="5" ht="20" customHeight="1">
      <c r="A5" s="6" t="n">
        <v>3</v>
      </c>
      <c r="B5" s="4" t="inlineStr">
        <is>
          <t>月末処理（進捗 → 結果分析 → WIP → 決済）を 1 回通した</t>
        </is>
      </c>
      <c r="C5" s="16" t="inlineStr"/>
    </row>
    <row r="6" ht="20" customHeight="1">
      <c r="A6" s="6" t="n">
        <v>4</v>
      </c>
      <c r="B6" s="4" t="inlineStr">
        <is>
          <t>E と Q の対照表（scenario-eq）を見ずに、相違点を 5 点説明できた</t>
        </is>
      </c>
      <c r="C6" s="16" t="inlineStr"/>
    </row>
    <row r="7" ht="20" customHeight="1">
      <c r="A7" s="6" t="n">
        <v>5</v>
      </c>
      <c r="B7" s="4" t="inlineStr">
        <is>
          <t>予算と可用性管理の挙動（警告 / エラー）を実際に見た</t>
        </is>
      </c>
      <c r="C7" s="16" t="inlineStr"/>
    </row>
    <row r="8" ht="20" customHeight="1">
      <c r="A8" s="6" t="n">
        <v>6</v>
      </c>
      <c r="B8" s="4" t="inlineStr">
        <is>
          <t>つまずいた点を「症状 → 根因 → 証拠 → 処置 → 再発防止」で 1 件以上記録できた</t>
        </is>
      </c>
      <c r="C8" s="16" t="inlineStr"/>
    </row>
    <row r="9" ht="20" customHeight="1">
      <c r="A9" s="6" t="n">
        <v>7</v>
      </c>
      <c r="B9" s="4" t="inlineStr">
        <is>
          <t>能力测试（quiz.html）で 75% 以上（28 題中 21 問以上）</t>
        </is>
      </c>
      <c r="C9" s="16" t="inlineStr"/>
    </row>
    <row r="11" ht="34" customHeight="1">
      <c r="A11" s="3" t="inlineStr">
        <is>
          <t>再受講が必要な分野（△ × のあったフェーズ）</t>
        </is>
      </c>
      <c r="B11" s="17" t="inlineStr"/>
    </row>
    <row r="12" ht="34" customHeight="1">
      <c r="A12" s="3" t="inlineStr">
        <is>
          <t>講師所見</t>
        </is>
      </c>
      <c r="B12" s="17" t="inlineStr"/>
    </row>
    <row r="13" ht="34" customHeight="1">
      <c r="A13" s="3" t="inlineStr">
        <is>
          <t>実施日 / 講師署名</t>
        </is>
      </c>
      <c r="B13" s="17" t="inlineStr"/>
    </row>
  </sheetData>
  <mergeCells count="4">
    <mergeCell ref="A1:C1"/>
    <mergeCell ref="B13:C13"/>
    <mergeCell ref="B11:C11"/>
    <mergeCell ref="B12:C12"/>
  </mergeCells>
  <dataValidations count="1">
    <dataValidation sqref="C3:C9" showDropDown="0" showInputMessage="0" showErrorMessage="0" allowBlank="1" type="list">
      <formula1>"✓,,—"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2026-09-12T14:10:45Z</dcterms:created>
  <dcterms:modified xsi:type="dcterms:W3CDTF">2026-09-12T14:10:45Z</dcterms:modified>
</cp:coreProperties>
</file>