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進め方" sheetId="1" state="visible" r:id="rId1"/>
    <sheet name="1_学習WBS" sheetId="2" state="visible" r:id="rId2"/>
    <sheet name="2_進捗サマリ" sheetId="3" state="visible" r:id="rId3"/>
    <sheet name="3_実機記録" sheetId="4" state="visible" r:id="rId4"/>
    <sheet name="4_修了判定" sheetId="5" state="visible" r:id="rId5"/>
  </sheets>
  <definedNames>
    <definedName name="_xlnm._FilterDatabase" localSheetId="1" hidden="1">'1_学習WBS'!$A$2:$I$96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  <font>
      <name val="微软雅黑"/>
      <b val="1"/>
      <color rgb="001D2D3E"/>
      <sz val="10"/>
    </font>
  </fonts>
  <fills count="6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E8F5E9"/>
      </patternFill>
    </fill>
    <fill>
      <patternFill patternType="solid">
        <fgColor rgb="00F2F4F7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6" customHeight="1">
      <c r="A1" s="1" t="inlineStr">
        <is>
          <t>学習WBS（受講者版）— SD 見込生産（MTS）</t>
        </is>
      </c>
    </row>
    <row r="2">
      <c r="A2" s="2" t="inlineStr">
        <is>
          <t>SAP S/4HANA 業務実践トレーニング / 記入式の進捗管理ワークブック（サイト版と同期）</t>
        </is>
      </c>
    </row>
    <row r="3" ht="26" customHeight="1">
      <c r="A3" s="3" t="inlineStr">
        <is>
          <t>本ワークブックの使い方</t>
        </is>
      </c>
      <c r="B3" s="4" t="inlineStr">
        <is>
          <t>本站は「予測で作り、在庫から納める」見込生産です。MTO（sapmto）と対比しながら進めると、「自由在庫 vs 受注在庫」「PIR vs 受注」「差異計算 vs 案件の進捗」の違いが腹に落ちます。</t>
        </is>
      </c>
    </row>
    <row r="4" ht="17" customHeight="1">
      <c r="A4" s="3" t="inlineStr">
        <is>
          <t>目安時間</t>
        </is>
      </c>
      <c r="B4" s="4" t="inlineStr">
        <is>
          <t>配置（C0〜C16）＋練習①〜⑤で「講義 1 日 ＋ 実機 1〜2 日」程度。</t>
        </is>
      </c>
    </row>
    <row r="5" ht="26" customHeight="1">
      <c r="A5" s="3" t="inlineStr">
        <is>
          <t>特に注意</t>
        </is>
      </c>
      <c r="B5" s="4" t="inlineStr">
        <is>
          <t>PIR（MD61）と安全在庫の設定が需要を作ります。需要が無ければ MRP は何も作りません。まず MD04 で需要の正体（PIR か受注か）を読む習慣を付けてください。</t>
        </is>
      </c>
    </row>
    <row r="7">
      <c r="A7" s="3" t="inlineStr">
        <is>
          <t>凡例</t>
        </is>
      </c>
      <c r="B7" s="4" t="inlineStr">
        <is>
          <t>○ ＝ できた（完成基準を満たした）／△ ＝ 一部できた（要確認）／× ＝ できなかった。「2_進捗サマリ」にフェーズ別の完了率が自動計算されます。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2" customWidth="1" min="4" max="4"/>
    <col width="62" customWidth="1" min="5" max="5"/>
    <col width="9" customWidth="1" min="6" max="6"/>
    <col width="12" customWidth="1" min="7" max="7"/>
    <col width="10" customWidth="1" min="8" max="8"/>
    <col width="30" customWidth="1" min="9" max="9"/>
  </cols>
  <sheetData>
    <row r="1" ht="26" customHeight="1">
      <c r="A1" s="1" t="inlineStr">
        <is>
          <t>学習WBS — SD 見込生産（MTS）（上から順に実施）</t>
        </is>
      </c>
    </row>
    <row r="2" ht="24" customHeight="1">
      <c r="A2" s="5" t="inlineStr">
        <is>
          <t>#</t>
        </is>
      </c>
      <c r="B2" s="5" t="inlineStr">
        <is>
          <t>フェーズ</t>
        </is>
      </c>
      <c r="C2" s="5" t="inlineStr">
        <is>
          <t>タスク</t>
        </is>
      </c>
      <c r="D2" s="5" t="inlineStr">
        <is>
          <t>参照ページ</t>
        </is>
      </c>
      <c r="E2" s="5" t="inlineStr">
        <is>
          <t>完成基準（ここを満たしたら ○）</t>
        </is>
      </c>
      <c r="F2" s="5" t="inlineStr">
        <is>
          <t>目安(分)</t>
        </is>
      </c>
      <c r="G2" s="5" t="inlineStr">
        <is>
          <t>実施日</t>
        </is>
      </c>
      <c r="H2" s="5" t="inlineStr">
        <is>
          <t>自己判定</t>
        </is>
      </c>
      <c r="I2" s="5" t="inlineStr">
        <is>
          <t>メモ</t>
        </is>
      </c>
    </row>
    <row r="3" ht="18" customHeight="1">
      <c r="A3" s="6" t="n">
        <v>1</v>
      </c>
      <c r="B3" s="4" t="inlineStr">
        <is>
          <t>A 総覧</t>
        </is>
      </c>
      <c r="C3" s="4" t="inlineStr">
        <is>
          <t>本站の環境と前提を説明できる</t>
        </is>
      </c>
      <c r="D3" s="6" t="inlineStr">
        <is>
          <t>index.html</t>
        </is>
      </c>
      <c r="E3" s="4" t="inlineStr">
        <is>
          <t>得意先 1000 / 品目 / プラント / MRP エリアが利用可能であることを確認した</t>
        </is>
      </c>
      <c r="F3" s="6" t="n">
        <v>10</v>
      </c>
      <c r="G3" s="6" t="inlineStr"/>
      <c r="H3" s="7" t="inlineStr"/>
      <c r="I3" s="4" t="inlineStr"/>
    </row>
    <row r="4" ht="26" customHeight="1">
      <c r="A4" s="8" t="n">
        <v>2</v>
      </c>
      <c r="B4" s="9" t="inlineStr">
        <is>
          <t>A 総覧</t>
        </is>
      </c>
      <c r="C4" s="9" t="inlineStr">
        <is>
          <t>見込生産の流れを白紙に書ける</t>
        </is>
      </c>
      <c r="D4" s="8" t="inlineStr">
        <is>
          <t>index.html</t>
        </is>
      </c>
      <c r="E4" s="9" t="inlineStr">
        <is>
          <t>需要予測（PIR）→ MRP → 計画手配 → 指図 → 入庫（自由在庫）→ 受注 → 引当（ATP）→ 出荷 → 請求 を順に説明できる</t>
        </is>
      </c>
      <c r="F4" s="8" t="n">
        <v>10</v>
      </c>
      <c r="G4" s="8" t="inlineStr"/>
      <c r="H4" s="7" t="inlineStr"/>
      <c r="I4" s="9" t="inlineStr"/>
    </row>
    <row r="5" ht="26" customHeight="1">
      <c r="A5" s="6" t="n">
        <v>3</v>
      </c>
      <c r="B5" s="4" t="inlineStr">
        <is>
          <t>A 総覧</t>
        </is>
      </c>
      <c r="C5" s="4" t="inlineStr">
        <is>
          <t>見込生産の 3 方式を区別できる</t>
        </is>
      </c>
      <c r="D5" s="6" t="inlineStr">
        <is>
          <t>index.html</t>
        </is>
      </c>
      <c r="E5" s="4" t="inlineStr">
        <is>
          <t>品目レベル / 最終組立レベル / 組立レベル（戦略 10 / 30 / 40 系）の違いを説明できる</t>
        </is>
      </c>
      <c r="F5" s="6" t="n">
        <v>10</v>
      </c>
      <c r="G5" s="6" t="inlineStr"/>
      <c r="H5" s="7" t="inlineStr"/>
      <c r="I5" s="4" t="inlineStr"/>
    </row>
    <row r="6" ht="18" customHeight="1">
      <c r="A6" s="8" t="n">
        <v>4</v>
      </c>
      <c r="B6" s="9" t="inlineStr">
        <is>
          <t>B 概念と設計</t>
        </is>
      </c>
      <c r="C6" s="9" t="inlineStr">
        <is>
          <t>自由在庫と受注在庫の違いを説明できる</t>
        </is>
      </c>
      <c r="D6" s="8" t="inlineStr">
        <is>
          <t>concept.html</t>
        </is>
      </c>
      <c r="E6" s="9" t="inlineStr">
        <is>
          <t>MARD（自由）と MSKA（特在 E）の違い、引当の起こり方を説明できる</t>
        </is>
      </c>
      <c r="F6" s="8" t="n">
        <v>10</v>
      </c>
      <c r="G6" s="8" t="inlineStr"/>
      <c r="H6" s="7" t="inlineStr"/>
      <c r="I6" s="9" t="inlineStr"/>
    </row>
    <row r="7" ht="26" customHeight="1">
      <c r="A7" s="6" t="n">
        <v>5</v>
      </c>
      <c r="B7" s="4" t="inlineStr">
        <is>
          <t>B 概念と設計</t>
        </is>
      </c>
      <c r="C7" s="4" t="inlineStr">
        <is>
          <t>PIR の役割を説明できる</t>
        </is>
      </c>
      <c r="D7" s="6" t="inlineStr">
        <is>
          <t>concept.html</t>
        </is>
      </c>
      <c r="E7" s="4" t="inlineStr">
        <is>
          <t>MD61 で作る需要予測が MRP の入力になり、受注が入ると消費される（消費モード）ことを説明できる</t>
        </is>
      </c>
      <c r="F7" s="6" t="n">
        <v>10</v>
      </c>
      <c r="G7" s="6" t="inlineStr"/>
      <c r="H7" s="7" t="inlineStr"/>
      <c r="I7" s="4" t="inlineStr"/>
    </row>
    <row r="8" ht="18" customHeight="1">
      <c r="A8" s="8" t="n">
        <v>6</v>
      </c>
      <c r="B8" s="9" t="inlineStr">
        <is>
          <t>B 概念と設計</t>
        </is>
      </c>
      <c r="C8" s="9" t="inlineStr">
        <is>
          <t>ネットチェンジを説明できる</t>
        </is>
      </c>
      <c r="D8" s="8" t="inlineStr">
        <is>
          <t>concept.html</t>
        </is>
      </c>
      <c r="E8" s="9" t="inlineStr">
        <is>
          <t>MRP 実行で計画手配の日付・数量がどう調整されるか、MD04 の行の見方を説明できる</t>
        </is>
      </c>
      <c r="F8" s="8" t="n">
        <v>10</v>
      </c>
      <c r="G8" s="8" t="inlineStr"/>
      <c r="H8" s="7" t="inlineStr"/>
      <c r="I8" s="9" t="inlineStr"/>
    </row>
    <row r="9" ht="26" customHeight="1">
      <c r="A9" s="6" t="n">
        <v>7</v>
      </c>
      <c r="B9" s="4" t="inlineStr">
        <is>
          <t>B 概念と設計</t>
        </is>
      </c>
      <c r="C9" s="4" t="inlineStr">
        <is>
          <t>標準原価と差異の流れを説明できる</t>
        </is>
      </c>
      <c r="D9" s="6" t="inlineStr">
        <is>
          <t>concept.html</t>
        </is>
      </c>
      <c r="E9" s="4" t="inlineStr">
        <is>
          <t>指図の投入 vs 出来高の差が差異になり、KKS1 / KO88 / CO88 で計算・決済されることを説明できる</t>
        </is>
      </c>
      <c r="F9" s="6" t="n">
        <v>10</v>
      </c>
      <c r="G9" s="6" t="inlineStr"/>
      <c r="H9" s="7" t="inlineStr"/>
      <c r="I9" s="4" t="inlineStr"/>
    </row>
    <row r="10" ht="18" customHeight="1">
      <c r="A10" s="8" t="n">
        <v>8</v>
      </c>
      <c r="B10" s="9" t="inlineStr">
        <is>
          <t>B 概念と設計</t>
        </is>
      </c>
      <c r="C10" s="9" t="inlineStr">
        <is>
          <t>欠品・安全在庫の考え方を説明できる</t>
        </is>
      </c>
      <c r="D10" s="8" t="inlineStr">
        <is>
          <t>concept.html</t>
        </is>
      </c>
      <c r="E10" s="9" t="inlineStr">
        <is>
          <t>安全在庫と ATP が欠品をどう防ぐか、不足時に何が起きるかを説明できる</t>
        </is>
      </c>
      <c r="F10" s="8" t="n">
        <v>10</v>
      </c>
      <c r="G10" s="8" t="inlineStr"/>
      <c r="H10" s="7" t="inlineStr"/>
      <c r="I10" s="9" t="inlineStr"/>
    </row>
    <row r="11" ht="26" customHeight="1">
      <c r="A11" s="6" t="n">
        <v>9</v>
      </c>
      <c r="B11" s="4" t="inlineStr">
        <is>
          <t>C 配置（SPRO / マスタ）</t>
        </is>
      </c>
      <c r="C11" s="4" t="inlineStr">
        <is>
          <t>前提与环境确认</t>
        </is>
      </c>
      <c r="D11" s="6" t="inlineStr">
        <is>
          <t>config.html#c0</t>
        </is>
      </c>
      <c r="E11" s="4" t="inlineStr">
        <is>
          <t>確認（自システムでの確認方法） VA01 能进入输入画面并看到 販売エリア = 1000/10/00，即前提基本满足。</t>
        </is>
      </c>
      <c r="F11" s="6" t="n">
        <v>15</v>
      </c>
      <c r="G11" s="6" t="inlineStr"/>
      <c r="H11" s="7" t="inlineStr"/>
      <c r="I11" s="4" t="inlineStr"/>
    </row>
    <row r="12" ht="26" customHeight="1">
      <c r="A12" s="8" t="n">
        <v>10</v>
      </c>
      <c r="B12" s="9" t="inlineStr">
        <is>
          <t>C 配置（SPRO / マスタ）</t>
        </is>
      </c>
      <c r="C12" s="9" t="inlineStr">
        <is>
          <t>部品品目（ZMTS-RM01 / ZMTS-RM02）</t>
        </is>
      </c>
      <c r="D12" s="8" t="inlineStr">
        <is>
          <t>config.html#c1</t>
        </is>
      </c>
      <c r="E12" s="9" t="inlineStr">
        <is>
          <t>確認（自システムでの確認方法） MMBE → 品目 ZMTS-RM01 / プラント 1000：非制限利用（自由在庫）1,000 PC。</t>
        </is>
      </c>
      <c r="F12" s="8" t="n">
        <v>15</v>
      </c>
      <c r="G12" s="8" t="inlineStr"/>
      <c r="H12" s="7" t="inlineStr"/>
      <c r="I12" s="9" t="inlineStr"/>
    </row>
    <row r="13" ht="26" customHeight="1">
      <c r="A13" s="6" t="n">
        <v>11</v>
      </c>
      <c r="B13" s="4" t="inlineStr">
        <is>
          <t>C 配置（SPRO / マスタ）</t>
        </is>
      </c>
      <c r="C13" s="4" t="inlineStr">
        <is>
          <t>完成品品目 ZMTS-FG01（本教程最关键的一张主数据）</t>
        </is>
      </c>
      <c r="D13" s="6" t="inlineStr">
        <is>
          <t>config.html#c2</t>
        </is>
      </c>
      <c r="E13" s="4" t="inlineStr">
        <is>
          <t>確認（自システムでの確認方法） MM03 → ZMTS-FG01 → 追加ビュー選択 で MRP1/2/3/4 を順に開き、上表と一致するか。</t>
        </is>
      </c>
      <c r="F13" s="6" t="n">
        <v>15</v>
      </c>
      <c r="G13" s="6" t="inlineStr"/>
      <c r="H13" s="7" t="inlineStr"/>
      <c r="I13" s="4" t="inlineStr"/>
    </row>
    <row r="14" ht="18" customHeight="1">
      <c r="A14" s="8" t="n">
        <v>12</v>
      </c>
      <c r="B14" s="9" t="inlineStr">
        <is>
          <t>C 配置（SPRO / マスタ）</t>
        </is>
      </c>
      <c r="C14" s="9" t="inlineStr">
        <is>
          <t>BOM・作業区・作業手順（標準原価の入力でもある）</t>
        </is>
      </c>
      <c r="D14" s="8" t="inlineStr">
        <is>
          <t>config.html#c3</t>
        </is>
      </c>
      <c r="E14" s="9" t="inlineStr">
        <is>
          <t>確認（自システムでの確認方法） CS03 で明細 2 行、CA03 で工程 1 行。</t>
        </is>
      </c>
      <c r="F14" s="8" t="n">
        <v>15</v>
      </c>
      <c r="G14" s="8" t="inlineStr"/>
      <c r="H14" s="7" t="inlineStr"/>
      <c r="I14" s="9" t="inlineStr"/>
    </row>
    <row r="15" ht="26" customHeight="1">
      <c r="A15" s="6" t="n">
        <v>13</v>
      </c>
      <c r="B15" s="4" t="inlineStr">
        <is>
          <t>C 配置（SPRO / マスタ）</t>
        </is>
      </c>
      <c r="C15" s="4" t="inlineStr">
        <is>
          <t>標準原価の計算・マーク・リリース（CK11N → CK40N → CK24）</t>
        </is>
      </c>
      <c r="D15" s="6" t="inlineStr">
        <is>
          <t>config.html#c4</t>
        </is>
      </c>
      <c r="E15" s="4" t="inlineStr">
        <is>
          <t>確認（自システムでの確認方法） MM03 → 会計1 → 標準価格 = 8,000 JPY（価格管理 S、有効日）。</t>
        </is>
      </c>
      <c r="F15" s="6" t="n">
        <v>15</v>
      </c>
      <c r="G15" s="6" t="inlineStr"/>
      <c r="H15" s="7" t="inlineStr"/>
      <c r="I15" s="4" t="inlineStr"/>
    </row>
    <row r="16" ht="26" customHeight="1">
      <c r="A16" s="8" t="n">
        <v>14</v>
      </c>
      <c r="B16" s="9" t="inlineStr">
        <is>
          <t>C 配置（SPRO / マスタ）</t>
        </is>
      </c>
      <c r="C16" s="9" t="inlineStr">
        <is>
          <t>販売条件（PR00）与 品目カテゴリグループの確認</t>
        </is>
      </c>
      <c r="D16" s="8" t="inlineStr">
        <is>
          <t>config.html#c5</t>
        </is>
      </c>
      <c r="E16" s="9" t="inlineStr">
        <is>
          <t>確認（自システムでの確認方法） VK13 で条件レコードが見えること；VA01 で 1 PC 入れて条件画面に 8,000 JPY が出ること。</t>
        </is>
      </c>
      <c r="F16" s="8" t="n">
        <v>15</v>
      </c>
      <c r="G16" s="8" t="inlineStr"/>
      <c r="H16" s="7" t="inlineStr"/>
      <c r="I16" s="9" t="inlineStr"/>
    </row>
    <row r="17" ht="26" customHeight="1">
      <c r="A17" s="6" t="n">
        <v>15</v>
      </c>
      <c r="B17" s="4" t="inlineStr">
        <is>
          <t>C 配置（SPRO / マスタ）</t>
        </is>
      </c>
      <c r="C17" s="4" t="inlineStr">
        <is>
          <t>明細カテゴリの定義・確認（VOV7）</t>
        </is>
      </c>
      <c r="D17" s="6" t="inlineStr">
        <is>
          <t>config.html#c6</t>
        </is>
      </c>
      <c r="E17" s="4" t="inlineStr">
        <is>
          <t>確認（自システムでの確認方法） VOV7 の一覧で TAN の行を開き、明細カテゴリ/特別在庫を直接読む。</t>
        </is>
      </c>
      <c r="F17" s="6" t="n">
        <v>15</v>
      </c>
      <c r="G17" s="6" t="inlineStr"/>
      <c r="H17" s="7" t="inlineStr"/>
      <c r="I17" s="4" t="inlineStr"/>
    </row>
    <row r="18" ht="18" customHeight="1">
      <c r="A18" s="8" t="n">
        <v>16</v>
      </c>
      <c r="B18" s="9" t="inlineStr">
        <is>
          <t>C 配置（SPRO / マスタ）</t>
        </is>
      </c>
      <c r="C18" s="9" t="inlineStr">
        <is>
          <t>明細カテゴリの割当（VOV4）</t>
        </is>
      </c>
      <c r="D18" s="8" t="inlineStr">
        <is>
          <t>config.html#c7</t>
        </is>
      </c>
      <c r="E18" s="9" t="inlineStr">
        <is>
          <t>確認（自システムでの確認方法） ① 設定：VOV4 一覧（表 TVAK/TVAP 群）。</t>
        </is>
      </c>
      <c r="F18" s="8" t="n">
        <v>15</v>
      </c>
      <c r="G18" s="8" t="inlineStr"/>
      <c r="H18" s="7" t="inlineStr"/>
      <c r="I18" s="9" t="inlineStr"/>
    </row>
    <row r="19" ht="18" customHeight="1">
      <c r="A19" s="6" t="n">
        <v>17</v>
      </c>
      <c r="B19" s="4" t="inlineStr">
        <is>
          <t>C 配置（SPRO / マスタ）</t>
        </is>
      </c>
      <c r="C19" s="4" t="inlineStr">
        <is>
          <t>納入日程行カテゴリの定義（VOV6）——所要量転送と在庫確認的开关</t>
        </is>
      </c>
      <c r="D19" s="6" t="inlineStr">
        <is>
          <t>config.html#c8</t>
        </is>
      </c>
      <c r="E19" s="4" t="inlineStr">
        <is>
          <t>確認（自システムでの確認方法） VOV6 の画面で直接読む。</t>
        </is>
      </c>
      <c r="F19" s="6" t="n">
        <v>15</v>
      </c>
      <c r="G19" s="6" t="inlineStr"/>
      <c r="H19" s="7" t="inlineStr"/>
      <c r="I19" s="4" t="inlineStr"/>
    </row>
    <row r="20" ht="18" customHeight="1">
      <c r="A20" s="8" t="n">
        <v>18</v>
      </c>
      <c r="B20" s="9" t="inlineStr">
        <is>
          <t>C 配置（SPRO / マスタ）</t>
        </is>
      </c>
      <c r="C20" s="9" t="inlineStr">
        <is>
          <t>納入日程行カテゴリの割当（VOV5）</t>
        </is>
      </c>
      <c r="D20" s="8" t="inlineStr">
        <is>
          <t>config.html#c9</t>
        </is>
      </c>
      <c r="E20" s="9" t="inlineStr">
        <is>
          <t>確認（自システムでの確認方法） ① 設定：VOV5 の一覧。</t>
        </is>
      </c>
      <c r="F20" s="8" t="n">
        <v>15</v>
      </c>
      <c r="G20" s="8" t="inlineStr"/>
      <c r="H20" s="7" t="inlineStr"/>
      <c r="I20" s="9" t="inlineStr"/>
    </row>
    <row r="21" ht="18" customHeight="1">
      <c r="A21" s="6" t="n">
        <v>19</v>
      </c>
      <c r="B21" s="4" t="inlineStr">
        <is>
          <t>C 配置（SPRO / マスタ）</t>
        </is>
      </c>
      <c r="C21" s="4" t="inlineStr">
        <is>
          <t>所要量クラス（OVZG）——MTS のクラスには「個別在庫」を付けない</t>
        </is>
      </c>
      <c r="D21" s="6" t="inlineStr">
        <is>
          <t>config.html#c10</t>
        </is>
      </c>
      <c r="E21" s="4" t="inlineStr">
        <is>
          <t>確認（自システムでの確認方法） OVZG の一覧と各クラスのフラグを直接読む。</t>
        </is>
      </c>
      <c r="F21" s="6" t="n">
        <v>15</v>
      </c>
      <c r="G21" s="6" t="inlineStr"/>
      <c r="H21" s="7" t="inlineStr"/>
      <c r="I21" s="4" t="inlineStr"/>
    </row>
    <row r="22" ht="26" customHeight="1">
      <c r="A22" s="8" t="n">
        <v>20</v>
      </c>
      <c r="B22" s="9" t="inlineStr">
        <is>
          <t>C 配置（SPRO / マスタ）</t>
        </is>
      </c>
      <c r="C22" s="9" t="inlineStr">
        <is>
          <t>所要量タイプとその決定（OPPS・OVZH・OVZI）</t>
        </is>
      </c>
      <c r="D22" s="8" t="inlineStr">
        <is>
          <t>config.html#c11</t>
        </is>
      </c>
      <c r="E22" s="9" t="inlineStr">
        <is>
          <t>確認（自システムでの確認方法） 設定側 = OPPS（計画方針）・OPPT（計画方針グループ一覧）・OVZH・OVZI。</t>
        </is>
      </c>
      <c r="F22" s="8" t="n">
        <v>15</v>
      </c>
      <c r="G22" s="8" t="inlineStr"/>
      <c r="H22" s="7" t="inlineStr"/>
      <c r="I22" s="9" t="inlineStr"/>
    </row>
    <row r="23" ht="26" customHeight="1">
      <c r="A23" s="6" t="n">
        <v>21</v>
      </c>
      <c r="B23" s="4" t="inlineStr">
        <is>
          <t>C 配置（SPRO / マスタ）</t>
        </is>
      </c>
      <c r="C23" s="4" t="inlineStr">
        <is>
          <t>計画方針グループ（OPPT / OPPS / OPPJ）——戦略 10 と 40 を並べる</t>
        </is>
      </c>
      <c r="D23" s="6" t="inlineStr">
        <is>
          <t>config.html#c12</t>
        </is>
      </c>
      <c r="E23" s="4" t="inlineStr">
        <is>
          <t>確認（自システムでの確認方法） OPPT：戦略グループ一覧の日本語/英語説明（これが最善の確認）。</t>
        </is>
      </c>
      <c r="F23" s="6" t="n">
        <v>15</v>
      </c>
      <c r="G23" s="6" t="inlineStr"/>
      <c r="H23" s="7" t="inlineStr"/>
      <c r="I23" s="4" t="inlineStr"/>
    </row>
    <row r="24" ht="26" customHeight="1">
      <c r="A24" s="8" t="n">
        <v>22</v>
      </c>
      <c r="B24" s="9" t="inlineStr">
        <is>
          <t>C 配置（SPRO / マスタ）</t>
        </is>
      </c>
      <c r="C24" s="9" t="inlineStr">
        <is>
          <t>在庫確認（ATP）の設定——MTS の「売れる量」を決める</t>
        </is>
      </c>
      <c r="D24" s="8" t="inlineStr">
        <is>
          <t>config.html#c13</t>
        </is>
      </c>
      <c r="E24" s="9" t="inlineStr">
        <is>
          <t>確認（自システムでの確認方法） CO09（品目 + プラント + 確認日）→ 「利用可能数量」と要素一覧（入庫/出庫の内訳）。</t>
        </is>
      </c>
      <c r="F24" s="8" t="n">
        <v>15</v>
      </c>
      <c r="G24" s="8" t="inlineStr"/>
      <c r="H24" s="7" t="inlineStr"/>
      <c r="I24" s="9" t="inlineStr"/>
    </row>
    <row r="25" ht="26" customHeight="1">
      <c r="A25" s="6" t="n">
        <v>23</v>
      </c>
      <c r="B25" s="4" t="inlineStr">
        <is>
          <t>C 配置（SPRO / マスタ）</t>
        </is>
      </c>
      <c r="C25" s="4" t="inlineStr">
        <is>
          <t>MRP 側の設定と実行（MD01N・OMDU・PP01・CO40/CO41）</t>
        </is>
      </c>
      <c r="D25" s="6" t="inlineStr">
        <is>
          <t>config.html#c14</t>
        </is>
      </c>
      <c r="E25" s="4" t="inlineStr">
        <is>
          <t>確認（自システムでの確認方法） ① MRP が跑过：MD04 に計画手配が出る／SE16N: PLAF に行がある（品目 + プラント）。</t>
        </is>
      </c>
      <c r="F25" s="6" t="n">
        <v>15</v>
      </c>
      <c r="G25" s="6" t="inlineStr"/>
      <c r="H25" s="7" t="inlineStr"/>
      <c r="I25" s="4" t="inlineStr"/>
    </row>
    <row r="26" ht="26" customHeight="1">
      <c r="A26" s="8" t="n">
        <v>24</v>
      </c>
      <c r="B26" s="9" t="inlineStr">
        <is>
          <t>C 配置（SPRO / マスタ）</t>
        </is>
      </c>
      <c r="C26" s="9" t="inlineStr">
        <is>
          <t>出荷・請求・自動転記・棚卸（MTS の出口）</t>
        </is>
      </c>
      <c r="D26" s="8" t="inlineStr">
        <is>
          <t>config.html#c15</t>
        </is>
      </c>
      <c r="E26" s="9" t="inlineStr">
        <is>
          <t>確認（自システムでの確認方法） ① 出荷：VL03N → 明細 → 在庫/引当 → PGI 後は MMBE の自由在庫が減っている（MB52 でも可）。</t>
        </is>
      </c>
      <c r="F26" s="8" t="n">
        <v>15</v>
      </c>
      <c r="G26" s="8" t="inlineStr"/>
      <c r="H26" s="7" t="inlineStr"/>
      <c r="I26" s="9" t="inlineStr"/>
    </row>
    <row r="27" ht="26" customHeight="1">
      <c r="A27" s="6" t="n">
        <v>25</v>
      </c>
      <c r="B27" s="4" t="inlineStr">
        <is>
          <t>C 配置（SPRO / マスタ）</t>
        </is>
      </c>
      <c r="C27" s="4" t="inlineStr">
        <is>
          <t>Public Cloud 差异对照（On-Premise との対比）</t>
        </is>
      </c>
      <c r="D27" s="6" t="inlineStr">
        <is>
          <t>config.html#c16</t>
        </is>
      </c>
      <c r="E27" s="4" t="inlineStr">
        <is>
          <t>確認（自システムでの確認方法） ① スコープアイテム：Road Map Viewer（SAP Best Practices）の該当版本の一覧、または「設定」アプリのスコープ画面。</t>
        </is>
      </c>
      <c r="F27" s="6" t="n">
        <v>15</v>
      </c>
      <c r="G27" s="6" t="inlineStr"/>
      <c r="H27" s="7" t="inlineStr"/>
      <c r="I27" s="4" t="inlineStr"/>
    </row>
    <row r="28" ht="18" customHeight="1">
      <c r="A28" s="8" t="n">
        <v>26</v>
      </c>
      <c r="B28" s="9" t="inlineStr">
        <is>
          <t>D 練習①</t>
        </is>
      </c>
      <c r="C28" s="9" t="inlineStr">
        <is>
          <t>1-1 前提确认（品目と戦略グループ）</t>
        </is>
      </c>
      <c r="D28" s="8" t="inlineStr">
        <is>
          <t>handson-1.html</t>
        </is>
      </c>
      <c r="E28" s="9" t="inlineStr">
        <is>
          <t>手順どおり操作し、「期待結果」の記載とシステムの状態が一致することを確認した</t>
        </is>
      </c>
      <c r="F28" s="8" t="n">
        <v>20</v>
      </c>
      <c r="G28" s="8" t="inlineStr"/>
      <c r="H28" s="7" t="inlineStr"/>
      <c r="I28" s="9" t="inlineStr"/>
    </row>
    <row r="29" ht="18" customHeight="1">
      <c r="A29" s="6" t="n">
        <v>27</v>
      </c>
      <c r="B29" s="4" t="inlineStr">
        <is>
          <t>D 練習①</t>
        </is>
      </c>
      <c r="C29" s="4" t="inlineStr">
        <is>
          <t>1-2 PIR の登録（MD61）</t>
        </is>
      </c>
      <c r="D29" s="6" t="inlineStr">
        <is>
          <t>handson-1.html</t>
        </is>
      </c>
      <c r="E29" s="4" t="inlineStr">
        <is>
          <t>手順どおり操作し、「期待結果」の記載とシステムの状態が一致することを確認した</t>
        </is>
      </c>
      <c r="F29" s="6" t="n">
        <v>20</v>
      </c>
      <c r="G29" s="6" t="inlineStr"/>
      <c r="H29" s="7" t="inlineStr"/>
      <c r="I29" s="4" t="inlineStr"/>
    </row>
    <row r="30" ht="18" customHeight="1">
      <c r="A30" s="8" t="n">
        <v>28</v>
      </c>
      <c r="B30" s="9" t="inlineStr">
        <is>
          <t>D 練習①</t>
        </is>
      </c>
      <c r="C30" s="9" t="inlineStr">
        <is>
          <t>1-3 PIR の変更と版（MD62 / MD73）</t>
        </is>
      </c>
      <c r="D30" s="8" t="inlineStr">
        <is>
          <t>handson-1.html</t>
        </is>
      </c>
      <c r="E30" s="9" t="inlineStr">
        <is>
          <t>手順どおり操作し、「期待結果」の記載とシステムの状態が一致することを確認した</t>
        </is>
      </c>
      <c r="F30" s="8" t="n">
        <v>20</v>
      </c>
      <c r="G30" s="8" t="inlineStr"/>
      <c r="H30" s="7" t="inlineStr"/>
      <c r="I30" s="9" t="inlineStr"/>
    </row>
    <row r="31" ht="18" customHeight="1">
      <c r="A31" s="6" t="n">
        <v>29</v>
      </c>
      <c r="B31" s="4" t="inlineStr">
        <is>
          <t>D 練習①</t>
        </is>
      </c>
      <c r="C31" s="4" t="inlineStr">
        <is>
          <t>1-4 MD04 で独立所要量を確認（本练习的核心）</t>
        </is>
      </c>
      <c r="D31" s="6" t="inlineStr">
        <is>
          <t>handson-1.html</t>
        </is>
      </c>
      <c r="E31" s="4" t="inlineStr">
        <is>
          <t>手順どおり操作し、「期待結果」の記載とシステムの状態が一致することを確認した</t>
        </is>
      </c>
      <c r="F31" s="6" t="n">
        <v>20</v>
      </c>
      <c r="G31" s="6" t="inlineStr"/>
      <c r="H31" s="7" t="inlineStr"/>
      <c r="I31" s="4" t="inlineStr"/>
    </row>
    <row r="32" ht="18" customHeight="1">
      <c r="A32" s="8" t="n">
        <v>30</v>
      </c>
      <c r="B32" s="9" t="inlineStr">
        <is>
          <t>D 練習①</t>
        </is>
      </c>
      <c r="C32" s="9" t="inlineStr">
        <is>
          <t>1-5 需要予測の作り方（発展：ここが MTS の「一番人間的な部分」）</t>
        </is>
      </c>
      <c r="D32" s="8" t="inlineStr">
        <is>
          <t>handson-1.html</t>
        </is>
      </c>
      <c r="E32" s="9" t="inlineStr">
        <is>
          <t>手順どおり操作し、「期待結果」の記載とシステムの状態が一致することを確認した</t>
        </is>
      </c>
      <c r="F32" s="8" t="n">
        <v>20</v>
      </c>
      <c r="G32" s="8" t="inlineStr"/>
      <c r="H32" s="7" t="inlineStr"/>
      <c r="I32" s="9" t="inlineStr"/>
    </row>
    <row r="33" ht="26" customHeight="1">
      <c r="A33" s="6" t="n">
        <v>31</v>
      </c>
      <c r="B33" s="4" t="inlineStr">
        <is>
          <t>D 練習①（验收）</t>
        </is>
      </c>
      <c r="C33" s="4" t="inlineStr">
        <is>
          <t>MD61 で ZMTS-FG01 / プラント 1000 / 版 00 に 3 か月分の PIR を登録し、保存できた。</t>
        </is>
      </c>
      <c r="D33" s="6" t="inlineStr">
        <is>
          <t>handson-1.html</t>
        </is>
      </c>
      <c r="E33" s="4" t="inlineStr">
        <is>
          <t>MD61 で ZMTS-FG01 / プラント 1000 / 版 00 に 3 か月分の PIR を登録し、保存できた。</t>
        </is>
      </c>
      <c r="F33" s="6" t="n">
        <v>5</v>
      </c>
      <c r="G33" s="6" t="inlineStr"/>
      <c r="H33" s="7" t="inlineStr"/>
      <c r="I33" s="4" t="inlineStr"/>
    </row>
    <row r="34" ht="18" customHeight="1">
      <c r="A34" s="8" t="n">
        <v>32</v>
      </c>
      <c r="B34" s="9" t="inlineStr">
        <is>
          <t>D 練習①（验收）</t>
        </is>
      </c>
      <c r="C34" s="9" t="inlineStr">
        <is>
          <t>MD73 の一覧で自分の登録が確認できる。</t>
        </is>
      </c>
      <c r="D34" s="8" t="inlineStr">
        <is>
          <t>handson-1.html</t>
        </is>
      </c>
      <c r="E34" s="9" t="inlineStr">
        <is>
          <t>MD73 の一覧で自分の登録が確認できる。</t>
        </is>
      </c>
      <c r="F34" s="8" t="n">
        <v>5</v>
      </c>
      <c r="G34" s="8" t="inlineStr"/>
      <c r="H34" s="7" t="inlineStr"/>
      <c r="I34" s="9" t="inlineStr"/>
    </row>
    <row r="35" ht="18" customHeight="1">
      <c r="A35" s="6" t="n">
        <v>33</v>
      </c>
      <c r="B35" s="4" t="inlineStr">
        <is>
          <t>D 練習①（验收）</t>
        </is>
      </c>
      <c r="C35" s="4" t="inlineStr">
        <is>
          <t>MD04 の「計画独立所要量」行を開き、受注番号がないことを自分の目で確認した。</t>
        </is>
      </c>
      <c r="D35" s="6" t="inlineStr">
        <is>
          <t>handson-1.html</t>
        </is>
      </c>
      <c r="E35" s="4" t="inlineStr">
        <is>
          <t>MD04 の「計画独立所要量」行を開き、受注番号がないことを自分の目で確認した。</t>
        </is>
      </c>
      <c r="F35" s="6" t="n">
        <v>5</v>
      </c>
      <c r="G35" s="6" t="inlineStr"/>
      <c r="H35" s="7" t="inlineStr"/>
      <c r="I35" s="4" t="inlineStr"/>
    </row>
    <row r="36" ht="26" customHeight="1">
      <c r="A36" s="8" t="n">
        <v>34</v>
      </c>
      <c r="B36" s="9" t="inlineStr">
        <is>
          <t>D 練習①（验收）</t>
        </is>
      </c>
      <c r="C36" s="9" t="inlineStr">
        <is>
          <t>MD62 で数量を変更し、MD04 に反映された（MRP はまだ未実行であることも説明できる）。</t>
        </is>
      </c>
      <c r="D36" s="8" t="inlineStr">
        <is>
          <t>handson-1.html</t>
        </is>
      </c>
      <c r="E36" s="9" t="inlineStr">
        <is>
          <t>MD62 で数量を変更し、MD04 に反映された（MRP はまだ未実行であることも説明できる）。</t>
        </is>
      </c>
      <c r="F36" s="8" t="n">
        <v>5</v>
      </c>
      <c r="G36" s="8" t="inlineStr"/>
      <c r="H36" s="7" t="inlineStr"/>
      <c r="I36" s="9" t="inlineStr"/>
    </row>
    <row r="37" ht="18" customHeight="1">
      <c r="A37" s="6" t="n">
        <v>35</v>
      </c>
      <c r="B37" s="4" t="inlineStr">
        <is>
          <t>D 練習①（验收）</t>
        </is>
      </c>
      <c r="C37" s="4" t="inlineStr">
        <is>
          <t>品目 MRP3 の戦略グループ（40）と消費モード（2）を MM03 で読み上げられる。</t>
        </is>
      </c>
      <c r="D37" s="6" t="inlineStr">
        <is>
          <t>handson-1.html</t>
        </is>
      </c>
      <c r="E37" s="4" t="inlineStr">
        <is>
          <t>品目 MRP3 の戦略グループ（40）と消費モード（2）を MM03 で読み上げられる。</t>
        </is>
      </c>
      <c r="F37" s="6" t="n">
        <v>5</v>
      </c>
      <c r="G37" s="6" t="inlineStr"/>
      <c r="H37" s="7" t="inlineStr"/>
      <c r="I37" s="4" t="inlineStr"/>
    </row>
    <row r="38" ht="18" customHeight="1">
      <c r="A38" s="8" t="n">
        <v>36</v>
      </c>
      <c r="B38" s="9" t="inlineStr">
        <is>
          <t>D 練習①（验收）</t>
        </is>
      </c>
      <c r="C38" s="9" t="inlineStr">
        <is>
          <t>「消費」と「消減」の違いを、PBED の数量が変わらないことを例に説明できる。</t>
        </is>
      </c>
      <c r="D38" s="8" t="inlineStr">
        <is>
          <t>handson-1.html</t>
        </is>
      </c>
      <c r="E38" s="9" t="inlineStr">
        <is>
          <t>「消費」と「消減」の違いを、PBED の数量が変わらないことを例に説明できる。</t>
        </is>
      </c>
      <c r="F38" s="8" t="n">
        <v>5</v>
      </c>
      <c r="G38" s="8" t="inlineStr"/>
      <c r="H38" s="7" t="inlineStr"/>
      <c r="I38" s="9" t="inlineStr"/>
    </row>
    <row r="39" ht="18" customHeight="1">
      <c r="A39" s="6" t="n">
        <v>37</v>
      </c>
      <c r="B39" s="4" t="inlineStr">
        <is>
          <t>D 練習①（验收）</t>
        </is>
      </c>
      <c r="C39" s="4" t="inlineStr">
        <is>
          <t>版 00 以外を登録しても MRP は使わない、と理由付きで説明できる。</t>
        </is>
      </c>
      <c r="D39" s="6" t="inlineStr">
        <is>
          <t>handson-1.html</t>
        </is>
      </c>
      <c r="E39" s="4" t="inlineStr">
        <is>
          <t>版 00 以外を登録しても MRP は使わない、と理由付きで説明できる。</t>
        </is>
      </c>
      <c r="F39" s="6" t="n">
        <v>5</v>
      </c>
      <c r="G39" s="6" t="inlineStr"/>
      <c r="H39" s="7" t="inlineStr"/>
      <c r="I39" s="4" t="inlineStr"/>
    </row>
    <row r="40" ht="18" customHeight="1">
      <c r="A40" s="8" t="n">
        <v>38</v>
      </c>
      <c r="B40" s="9" t="inlineStr">
        <is>
          <t>E 練習②</t>
        </is>
      </c>
      <c r="C40" s="9" t="inlineStr">
        <is>
          <t>2-1 MRP 実行（MD01N / MRP Live）</t>
        </is>
      </c>
      <c r="D40" s="8" t="inlineStr">
        <is>
          <t>handson-2.html</t>
        </is>
      </c>
      <c r="E40" s="9" t="inlineStr">
        <is>
          <t>手順どおり操作し、「期待結果」の記載とシステムの状態が一致することを確認した</t>
        </is>
      </c>
      <c r="F40" s="8" t="n">
        <v>20</v>
      </c>
      <c r="G40" s="8" t="inlineStr"/>
      <c r="H40" s="7" t="inlineStr"/>
      <c r="I40" s="9" t="inlineStr"/>
    </row>
    <row r="41" ht="18" customHeight="1">
      <c r="A41" s="6" t="n">
        <v>39</v>
      </c>
      <c r="B41" s="4" t="inlineStr">
        <is>
          <t>E 練習②</t>
        </is>
      </c>
      <c r="C41" s="4" t="inlineStr">
        <is>
          <t>2-2 純所要量の検算（MD04 の読み方）</t>
        </is>
      </c>
      <c r="D41" s="6" t="inlineStr">
        <is>
          <t>handson-2.html</t>
        </is>
      </c>
      <c r="E41" s="4" t="inlineStr">
        <is>
          <t>手順どおり操作し、「期待結果」の記載とシステムの状態が一致することを確認した</t>
        </is>
      </c>
      <c r="F41" s="6" t="n">
        <v>20</v>
      </c>
      <c r="G41" s="6" t="inlineStr"/>
      <c r="H41" s="7" t="inlineStr"/>
      <c r="I41" s="4" t="inlineStr"/>
    </row>
    <row r="42" ht="18" customHeight="1">
      <c r="A42" s="8" t="n">
        <v>40</v>
      </c>
      <c r="B42" s="9" t="inlineStr">
        <is>
          <t>E 練習②</t>
        </is>
      </c>
      <c r="C42" s="9" t="inlineStr">
        <is>
          <t>2-3 部品への展開（従属所要量）</t>
        </is>
      </c>
      <c r="D42" s="8" t="inlineStr">
        <is>
          <t>handson-2.html</t>
        </is>
      </c>
      <c r="E42" s="9" t="inlineStr">
        <is>
          <t>手順どおり操作し、「期待結果」の記載とシステムの状態が一致することを確認した</t>
        </is>
      </c>
      <c r="F42" s="8" t="n">
        <v>20</v>
      </c>
      <c r="G42" s="8" t="inlineStr"/>
      <c r="H42" s="7" t="inlineStr"/>
      <c r="I42" s="9" t="inlineStr"/>
    </row>
    <row r="43" ht="18" customHeight="1">
      <c r="A43" s="6" t="n">
        <v>41</v>
      </c>
      <c r="B43" s="4" t="inlineStr">
        <is>
          <t>E 練習②</t>
        </is>
      </c>
      <c r="C43" s="4" t="inlineStr">
        <is>
          <t>2-4 計画手配 → 製造指図（CO40 / CO41）</t>
        </is>
      </c>
      <c r="D43" s="6" t="inlineStr">
        <is>
          <t>handson-2.html</t>
        </is>
      </c>
      <c r="E43" s="4" t="inlineStr">
        <is>
          <t>手順どおり操作し、「期待結果」の記載とシステムの状態が一致することを確認した</t>
        </is>
      </c>
      <c r="F43" s="6" t="n">
        <v>20</v>
      </c>
      <c r="G43" s="6" t="inlineStr"/>
      <c r="H43" s="7" t="inlineStr"/>
      <c r="I43" s="4" t="inlineStr"/>
    </row>
    <row r="44" ht="18" customHeight="1">
      <c r="A44" s="8" t="n">
        <v>42</v>
      </c>
      <c r="B44" s="9" t="inlineStr">
        <is>
          <t>E 練習②</t>
        </is>
      </c>
      <c r="C44" s="9" t="inlineStr">
        <is>
          <t>2-5 ネットチェンジの実験（MRP は「全部は計算しない」）</t>
        </is>
      </c>
      <c r="D44" s="8" t="inlineStr">
        <is>
          <t>handson-2.html</t>
        </is>
      </c>
      <c r="E44" s="9" t="inlineStr">
        <is>
          <t>手順どおり操作し、「期待結果」の記載とシステムの状態が一致することを確認した</t>
        </is>
      </c>
      <c r="F44" s="8" t="n">
        <v>20</v>
      </c>
      <c r="G44" s="8" t="inlineStr"/>
      <c r="H44" s="7" t="inlineStr"/>
      <c r="I44" s="9" t="inlineStr"/>
    </row>
    <row r="45" ht="18" customHeight="1">
      <c r="A45" s="6" t="n">
        <v>43</v>
      </c>
      <c r="B45" s="4" t="inlineStr">
        <is>
          <t>E 練習②（验收）</t>
        </is>
      </c>
      <c r="C45" s="4" t="inlineStr">
        <is>
          <t>MD01N を実行し、MD04 に計画手配が生成されたことを確認した。</t>
        </is>
      </c>
      <c r="D45" s="6" t="inlineStr">
        <is>
          <t>handson-2.html</t>
        </is>
      </c>
      <c r="E45" s="4" t="inlineStr">
        <is>
          <t>MD01N を実行し、MD04 に計画手配が生成されたことを確認した。</t>
        </is>
      </c>
      <c r="F45" s="6" t="n">
        <v>5</v>
      </c>
      <c r="G45" s="6" t="inlineStr"/>
      <c r="H45" s="7" t="inlineStr"/>
      <c r="I45" s="4" t="inlineStr"/>
    </row>
    <row r="46" ht="26" customHeight="1">
      <c r="A46" s="8" t="n">
        <v>44</v>
      </c>
      <c r="B46" s="9" t="inlineStr">
        <is>
          <t>E 練習②（验收）</t>
        </is>
      </c>
      <c r="C46" s="9" t="inlineStr">
        <is>
          <t>計画手配の数量を「総所要量 − 受入予定 + 安全在庫」で検算し、数字が合った（或は差の理由を説明できた）。</t>
        </is>
      </c>
      <c r="D46" s="8" t="inlineStr">
        <is>
          <t>handson-2.html</t>
        </is>
      </c>
      <c r="E46" s="9" t="inlineStr">
        <is>
          <t>計画手配の数量を「総所要量 − 受入予定 + 安全在庫」で検算し、数字が合った（或は差の理由を説明できた）。</t>
        </is>
      </c>
      <c r="F46" s="8" t="n">
        <v>5</v>
      </c>
      <c r="G46" s="8" t="inlineStr"/>
      <c r="H46" s="7" t="inlineStr"/>
      <c r="I46" s="9" t="inlineStr"/>
    </row>
    <row r="47" ht="18" customHeight="1">
      <c r="A47" s="6" t="n">
        <v>45</v>
      </c>
      <c r="B47" s="4" t="inlineStr">
        <is>
          <t>E 練習②（验收）</t>
        </is>
      </c>
      <c r="C47" s="4" t="inlineStr">
        <is>
          <t>安全在庫を変えると計画手配数量が変わることを実測した。</t>
        </is>
      </c>
      <c r="D47" s="6" t="inlineStr">
        <is>
          <t>handson-2.html</t>
        </is>
      </c>
      <c r="E47" s="4" t="inlineStr">
        <is>
          <t>安全在庫を変えると計画手配数量が変わることを実測した。</t>
        </is>
      </c>
      <c r="F47" s="6" t="n">
        <v>5</v>
      </c>
      <c r="G47" s="6" t="inlineStr"/>
      <c r="H47" s="7" t="inlineStr"/>
      <c r="I47" s="4" t="inlineStr"/>
    </row>
    <row r="48" ht="26" customHeight="1">
      <c r="A48" s="8" t="n">
        <v>46</v>
      </c>
      <c r="B48" s="9" t="inlineStr">
        <is>
          <t>E 練習②（验收）</t>
        </is>
      </c>
      <c r="C48" s="9" t="inlineStr">
        <is>
          <t>部品（RM01/RM02）に従属所要量が出ることを確認し、BOM の倍数で計算されていると言える。</t>
        </is>
      </c>
      <c r="D48" s="8" t="inlineStr">
        <is>
          <t>handson-2.html</t>
        </is>
      </c>
      <c r="E48" s="9" t="inlineStr">
        <is>
          <t>部品（RM01/RM02）に従属所要量が出ることを確認し、BOM の倍数で計算されていると言える。</t>
        </is>
      </c>
      <c r="F48" s="8" t="n">
        <v>5</v>
      </c>
      <c r="G48" s="8" t="inlineStr"/>
      <c r="H48" s="7" t="inlineStr"/>
      <c r="I48" s="9" t="inlineStr"/>
    </row>
    <row r="49" ht="26" customHeight="1">
      <c r="A49" s="6" t="n">
        <v>47</v>
      </c>
      <c r="B49" s="4" t="inlineStr">
        <is>
          <t>E 練習②（验收）</t>
        </is>
      </c>
      <c r="C49" s="4" t="inlineStr">
        <is>
          <t>CO40/CO41 で計画手配を製造指図（PP01）に変換でき、CO03 で状態を確認した。</t>
        </is>
      </c>
      <c r="D49" s="6" t="inlineStr">
        <is>
          <t>handson-2.html</t>
        </is>
      </c>
      <c r="E49" s="4" t="inlineStr">
        <is>
          <t>CO40/CO41 で計画手配を製造指図（PP01）に変換でき、CO03 で状態を確認した。</t>
        </is>
      </c>
      <c r="F49" s="6" t="n">
        <v>5</v>
      </c>
      <c r="G49" s="6" t="inlineStr"/>
      <c r="H49" s="7" t="inlineStr"/>
      <c r="I49" s="4" t="inlineStr"/>
    </row>
    <row r="50" ht="26" customHeight="1">
      <c r="A50" s="8" t="n">
        <v>48</v>
      </c>
      <c r="B50" s="9" t="inlineStr">
        <is>
          <t>E 練習②（验收）</t>
        </is>
      </c>
      <c r="C50" s="9" t="inlineStr">
        <is>
          <t>指図の受注明細参照（AFPO-KDAUF/KDPOS）が空であることを確認した（MTS の証拠）。</t>
        </is>
      </c>
      <c r="D50" s="8" t="inlineStr">
        <is>
          <t>handson-2.html</t>
        </is>
      </c>
      <c r="E50" s="9" t="inlineStr">
        <is>
          <t>指図の受注明細参照（AFPO-KDAUF/KDPOS）が空であることを確認した（MTS の証拠）。</t>
        </is>
      </c>
      <c r="F50" s="8" t="n">
        <v>5</v>
      </c>
      <c r="G50" s="8" t="inlineStr"/>
      <c r="H50" s="7" t="inlineStr"/>
      <c r="I50" s="9" t="inlineStr"/>
    </row>
    <row r="51" ht="18" customHeight="1">
      <c r="A51" s="6" t="n">
        <v>49</v>
      </c>
      <c r="B51" s="4" t="inlineStr">
        <is>
          <t>E 練習②（验收）</t>
        </is>
      </c>
      <c r="C51" s="4" t="inlineStr">
        <is>
          <t>ネットチェンジ（PIR 変更 → 再実行）で計画手配が追従することを確認した。</t>
        </is>
      </c>
      <c r="D51" s="6" t="inlineStr">
        <is>
          <t>handson-2.html</t>
        </is>
      </c>
      <c r="E51" s="4" t="inlineStr">
        <is>
          <t>ネットチェンジ（PIR 変更 → 再実行）で計画手配が追従することを確認した。</t>
        </is>
      </c>
      <c r="F51" s="6" t="n">
        <v>5</v>
      </c>
      <c r="G51" s="6" t="inlineStr"/>
      <c r="H51" s="7" t="inlineStr"/>
      <c r="I51" s="4" t="inlineStr"/>
    </row>
    <row r="52" ht="26" customHeight="1">
      <c r="A52" s="8" t="n">
        <v>50</v>
      </c>
      <c r="B52" s="9" t="inlineStr">
        <is>
          <t>E 練習②（验收）</t>
        </is>
      </c>
      <c r="C52" s="9" t="inlineStr">
        <is>
          <t>MD03 が無い理由（MRP Live）と、MRP リストを期待してはいけない理由を説明できる。</t>
        </is>
      </c>
      <c r="D52" s="8" t="inlineStr">
        <is>
          <t>handson-2.html</t>
        </is>
      </c>
      <c r="E52" s="9" t="inlineStr">
        <is>
          <t>MD03 が無い理由（MRP Live）と、MRP リストを期待してはいけない理由を説明できる。</t>
        </is>
      </c>
      <c r="F52" s="8" t="n">
        <v>5</v>
      </c>
      <c r="G52" s="8" t="inlineStr"/>
      <c r="H52" s="7" t="inlineStr"/>
      <c r="I52" s="9" t="inlineStr"/>
    </row>
    <row r="53" ht="18" customHeight="1">
      <c r="A53" s="6" t="n">
        <v>51</v>
      </c>
      <c r="B53" s="4" t="inlineStr">
        <is>
          <t>F 練習③</t>
        </is>
      </c>
      <c r="C53" s="4" t="inlineStr">
        <is>
          <t>3-1 指図の解放（CO02）</t>
        </is>
      </c>
      <c r="D53" s="6" t="inlineStr">
        <is>
          <t>handson-3.html</t>
        </is>
      </c>
      <c r="E53" s="4" t="inlineStr">
        <is>
          <t>手順どおり操作し、「期待結果」の記載とシステムの状態が一致することを確認した</t>
        </is>
      </c>
      <c r="F53" s="6" t="n">
        <v>20</v>
      </c>
      <c r="G53" s="6" t="inlineStr"/>
      <c r="H53" s="7" t="inlineStr"/>
      <c r="I53" s="4" t="inlineStr"/>
    </row>
    <row r="54" ht="18" customHeight="1">
      <c r="A54" s="8" t="n">
        <v>52</v>
      </c>
      <c r="B54" s="9" t="inlineStr">
        <is>
          <t>F 練習③</t>
        </is>
      </c>
      <c r="C54" s="9" t="inlineStr">
        <is>
          <t>3-2 部品出庫 261（MIGO）</t>
        </is>
      </c>
      <c r="D54" s="8" t="inlineStr">
        <is>
          <t>handson-3.html</t>
        </is>
      </c>
      <c r="E54" s="9" t="inlineStr">
        <is>
          <t>手順どおり操作し、「期待結果」の記載とシステムの状態が一致することを確認した</t>
        </is>
      </c>
      <c r="F54" s="8" t="n">
        <v>20</v>
      </c>
      <c r="G54" s="8" t="inlineStr"/>
      <c r="H54" s="7" t="inlineStr"/>
      <c r="I54" s="9" t="inlineStr"/>
    </row>
    <row r="55" ht="18" customHeight="1">
      <c r="A55" s="6" t="n">
        <v>53</v>
      </c>
      <c r="B55" s="4" t="inlineStr">
        <is>
          <t>F 練習③</t>
        </is>
      </c>
      <c r="C55" s="4" t="inlineStr">
        <is>
          <t>3-3 実績（CO11N）</t>
        </is>
      </c>
      <c r="D55" s="6" t="inlineStr">
        <is>
          <t>handson-3.html</t>
        </is>
      </c>
      <c r="E55" s="4" t="inlineStr">
        <is>
          <t>手順どおり操作し、「期待結果」の記載とシステムの状態が一致することを確認した</t>
        </is>
      </c>
      <c r="F55" s="6" t="n">
        <v>20</v>
      </c>
      <c r="G55" s="6" t="inlineStr"/>
      <c r="H55" s="7" t="inlineStr"/>
      <c r="I55" s="4" t="inlineStr"/>
    </row>
    <row r="56" ht="18" customHeight="1">
      <c r="A56" s="8" t="n">
        <v>54</v>
      </c>
      <c r="B56" s="9" t="inlineStr">
        <is>
          <t>F 練習③</t>
        </is>
      </c>
      <c r="C56" s="9" t="inlineStr">
        <is>
          <t>3-4 完成品入庫 101（MIGO → 自由在庫）</t>
        </is>
      </c>
      <c r="D56" s="8" t="inlineStr">
        <is>
          <t>handson-3.html</t>
        </is>
      </c>
      <c r="E56" s="9" t="inlineStr">
        <is>
          <t>手順どおり操作し、「期待結果」の記載とシステムの状態が一致することを確認した</t>
        </is>
      </c>
      <c r="F56" s="8" t="n">
        <v>20</v>
      </c>
      <c r="G56" s="8" t="inlineStr"/>
      <c r="H56" s="7" t="inlineStr"/>
      <c r="I56" s="9" t="inlineStr"/>
    </row>
    <row r="57" ht="18" customHeight="1">
      <c r="A57" s="6" t="n">
        <v>55</v>
      </c>
      <c r="B57" s="4" t="inlineStr">
        <is>
          <t>F 練習③</t>
        </is>
      </c>
      <c r="C57" s="4" t="inlineStr">
        <is>
          <t>3-5 標準原価との差異（「此处的金额」问题）</t>
        </is>
      </c>
      <c r="D57" s="6" t="inlineStr">
        <is>
          <t>handson-3.html</t>
        </is>
      </c>
      <c r="E57" s="4" t="inlineStr">
        <is>
          <t>手順どおり操作し、「期待結果」の記載とシステムの状態が一致することを確認した</t>
        </is>
      </c>
      <c r="F57" s="6" t="n">
        <v>20</v>
      </c>
      <c r="G57" s="6" t="inlineStr"/>
      <c r="H57" s="7" t="inlineStr"/>
      <c r="I57" s="4" t="inlineStr"/>
    </row>
    <row r="58" ht="18" customHeight="1">
      <c r="A58" s="8" t="n">
        <v>56</v>
      </c>
      <c r="B58" s="9" t="inlineStr">
        <is>
          <t>F 練習③（验收）</t>
        </is>
      </c>
      <c r="C58" s="9" t="inlineStr">
        <is>
          <t>指図を CO02 で解放し、状態が REL になったことを確認した。</t>
        </is>
      </c>
      <c r="D58" s="8" t="inlineStr">
        <is>
          <t>handson-3.html</t>
        </is>
      </c>
      <c r="E58" s="9" t="inlineStr">
        <is>
          <t>指図を CO02 で解放し、状態が REL になったことを確認した。</t>
        </is>
      </c>
      <c r="F58" s="8" t="n">
        <v>5</v>
      </c>
      <c r="G58" s="8" t="inlineStr"/>
      <c r="H58" s="7" t="inlineStr"/>
      <c r="I58" s="9" t="inlineStr"/>
    </row>
    <row r="59" ht="26" customHeight="1">
      <c r="A59" s="6" t="n">
        <v>57</v>
      </c>
      <c r="B59" s="4" t="inlineStr">
        <is>
          <t>F 練習③（验收）</t>
        </is>
      </c>
      <c r="C59" s="4" t="inlineStr">
        <is>
          <t>261 で部品（RM01 1,000 / RM02 2,000 PC）を出库し、部品在庫が減ったことを MMBE で確認した。</t>
        </is>
      </c>
      <c r="D59" s="6" t="inlineStr">
        <is>
          <t>handson-3.html</t>
        </is>
      </c>
      <c r="E59" s="4" t="inlineStr">
        <is>
          <t>261 で部品（RM01 1,000 / RM02 2,000 PC）を出库し、部品在庫が減ったことを MMBE で確認した。</t>
        </is>
      </c>
      <c r="F59" s="6" t="n">
        <v>5</v>
      </c>
      <c r="G59" s="6" t="inlineStr"/>
      <c r="H59" s="7" t="inlineStr"/>
      <c r="I59" s="4" t="inlineStr"/>
    </row>
    <row r="60" ht="26" customHeight="1">
      <c r="A60" s="8" t="n">
        <v>58</v>
      </c>
      <c r="B60" s="9" t="inlineStr">
        <is>
          <t>F 練習③（验收）</t>
        </is>
      </c>
      <c r="C60" s="9" t="inlineStr">
        <is>
          <t>CO11N で歩留 500 PC を実績し、AFRU 或は CO03 で実績数量を確認した。</t>
        </is>
      </c>
      <c r="D60" s="8" t="inlineStr">
        <is>
          <t>handson-3.html</t>
        </is>
      </c>
      <c r="E60" s="9" t="inlineStr">
        <is>
          <t>CO11N で歩留 500 PC を実績し、AFRU 或は CO03 で実績数量を確認した。</t>
        </is>
      </c>
      <c r="F60" s="8" t="n">
        <v>5</v>
      </c>
      <c r="G60" s="8" t="inlineStr"/>
      <c r="H60" s="7" t="inlineStr"/>
      <c r="I60" s="9" t="inlineStr"/>
    </row>
    <row r="61" ht="26" customHeight="1">
      <c r="A61" s="6" t="n">
        <v>59</v>
      </c>
      <c r="B61" s="4" t="inlineStr">
        <is>
          <t>F 練習③（验收）</t>
        </is>
      </c>
      <c r="C61" s="4" t="inlineStr">
        <is>
          <t>101 で完成品 500 PC を入庫し、MMBE・MB52 で自由在庫（非制限利用）に入ったことを確認した。</t>
        </is>
      </c>
      <c r="D61" s="6" t="inlineStr">
        <is>
          <t>handson-3.html</t>
        </is>
      </c>
      <c r="E61" s="4" t="inlineStr">
        <is>
          <t>101 で完成品 500 PC を入庫し、MMBE・MB52 で自由在庫（非制限利用）に入ったことを確認した。</t>
        </is>
      </c>
      <c r="F61" s="6" t="n">
        <v>5</v>
      </c>
      <c r="G61" s="6" t="inlineStr"/>
      <c r="H61" s="7" t="inlineStr"/>
      <c r="I61" s="4" t="inlineStr"/>
    </row>
    <row r="62" ht="26" customHeight="1">
      <c r="A62" s="8" t="n">
        <v>60</v>
      </c>
      <c r="B62" s="9" t="inlineStr">
        <is>
          <t>F 練習③（验收）</t>
        </is>
      </c>
      <c r="C62" s="9" t="inlineStr">
        <is>
          <t>特在区分（得意先別）が空であることを自分の目で確認し、これが MTS の証拠だと説明できる。</t>
        </is>
      </c>
      <c r="D62" s="8" t="inlineStr">
        <is>
          <t>handson-3.html</t>
        </is>
      </c>
      <c r="E62" s="9" t="inlineStr">
        <is>
          <t>特在区分（得意先別）が空であることを自分の目で確認し、これが MTS の証拠だと説明できる。</t>
        </is>
      </c>
      <c r="F62" s="8" t="n">
        <v>5</v>
      </c>
      <c r="G62" s="8" t="inlineStr"/>
      <c r="H62" s="7" t="inlineStr"/>
      <c r="I62" s="9" t="inlineStr"/>
    </row>
    <row r="63" ht="18" customHeight="1">
      <c r="A63" s="6" t="n">
        <v>61</v>
      </c>
      <c r="B63" s="4" t="inlineStr">
        <is>
          <t>F 練習③（验收）</t>
        </is>
      </c>
      <c r="C63" s="4" t="inlineStr">
        <is>
          <t>指図の状態遷移（REL → CNF → DLV）を実際に見た。</t>
        </is>
      </c>
      <c r="D63" s="6" t="inlineStr">
        <is>
          <t>handson-3.html</t>
        </is>
      </c>
      <c r="E63" s="4" t="inlineStr">
        <is>
          <t>指図の状態遷移（REL → CNF → DLV）を実際に見た。</t>
        </is>
      </c>
      <c r="F63" s="6" t="n">
        <v>5</v>
      </c>
      <c r="G63" s="6" t="inlineStr"/>
      <c r="H63" s="7" t="inlineStr"/>
      <c r="I63" s="4" t="inlineStr"/>
    </row>
    <row r="64" ht="18" customHeight="1">
      <c r="A64" s="8" t="n">
        <v>62</v>
      </c>
      <c r="B64" s="9" t="inlineStr">
        <is>
          <t>F 練習③（验收）</t>
        </is>
      </c>
      <c r="C64" s="9" t="inlineStr">
        <is>
          <t>101 の会計伝票（FB03）の金額が標準価格 × 数量であることを確認した。</t>
        </is>
      </c>
      <c r="D64" s="8" t="inlineStr">
        <is>
          <t>handson-3.html</t>
        </is>
      </c>
      <c r="E64" s="9" t="inlineStr">
        <is>
          <t>101 の会計伝票（FB03）の金額が標準価格 × 数量であることを確認した。</t>
        </is>
      </c>
      <c r="F64" s="8" t="n">
        <v>5</v>
      </c>
      <c r="G64" s="8" t="inlineStr"/>
      <c r="H64" s="7" t="inlineStr"/>
      <c r="I64" s="9" t="inlineStr"/>
    </row>
    <row r="65" ht="18" customHeight="1">
      <c r="A65" s="6" t="n">
        <v>63</v>
      </c>
      <c r="B65" s="4" t="inlineStr">
        <is>
          <t>F 練習③（验收）</t>
        </is>
      </c>
      <c r="C65" s="4" t="inlineStr">
        <is>
          <t>CO03 の原価比較で、目標（標準）と実際の差額を数字で言える。</t>
        </is>
      </c>
      <c r="D65" s="6" t="inlineStr">
        <is>
          <t>handson-3.html</t>
        </is>
      </c>
      <c r="E65" s="4" t="inlineStr">
        <is>
          <t>CO03 の原価比較で、目標（標準）と実際の差額を数字で言える。</t>
        </is>
      </c>
      <c r="F65" s="6" t="n">
        <v>5</v>
      </c>
      <c r="G65" s="6" t="inlineStr"/>
      <c r="H65" s="7" t="inlineStr"/>
      <c r="I65" s="4" t="inlineStr"/>
    </row>
    <row r="66" ht="18" customHeight="1">
      <c r="A66" s="8" t="n">
        <v>64</v>
      </c>
      <c r="B66" s="9" t="inlineStr">
        <is>
          <t>G 練習④</t>
        </is>
      </c>
      <c r="C66" s="9" t="inlineStr">
        <is>
          <t>4-1 受注登録（VA01）</t>
        </is>
      </c>
      <c r="D66" s="8" t="inlineStr">
        <is>
          <t>handson-4.html</t>
        </is>
      </c>
      <c r="E66" s="9" t="inlineStr">
        <is>
          <t>手順どおり操作し、「期待結果」の記載とシステムの状態が一致することを確認した</t>
        </is>
      </c>
      <c r="F66" s="8" t="n">
        <v>20</v>
      </c>
      <c r="G66" s="8" t="inlineStr"/>
      <c r="H66" s="7" t="inlineStr"/>
      <c r="I66" s="9" t="inlineStr"/>
    </row>
    <row r="67" ht="18" customHeight="1">
      <c r="A67" s="6" t="n">
        <v>65</v>
      </c>
      <c r="B67" s="4" t="inlineStr">
        <is>
          <t>G 練習④</t>
        </is>
      </c>
      <c r="C67" s="4" t="inlineStr">
        <is>
          <t>4-2 在庫確認（ATP）の確認（CO09 / V_V2）</t>
        </is>
      </c>
      <c r="D67" s="6" t="inlineStr">
        <is>
          <t>handson-4.html</t>
        </is>
      </c>
      <c r="E67" s="4" t="inlineStr">
        <is>
          <t>手順どおり操作し、「期待結果」の記載とシステムの状態が一致することを確認した</t>
        </is>
      </c>
      <c r="F67" s="6" t="n">
        <v>20</v>
      </c>
      <c r="G67" s="6" t="inlineStr"/>
      <c r="H67" s="7" t="inlineStr"/>
      <c r="I67" s="4" t="inlineStr"/>
    </row>
    <row r="68" ht="18" customHeight="1">
      <c r="A68" s="8" t="n">
        <v>66</v>
      </c>
      <c r="B68" s="9" t="inlineStr">
        <is>
          <t>G 練習④</t>
        </is>
      </c>
      <c r="C68" s="9" t="inlineStr">
        <is>
          <t>4-3 PIR の消費を MD04 で見る（見込生産の核心）</t>
        </is>
      </c>
      <c r="D68" s="8" t="inlineStr">
        <is>
          <t>handson-4.html</t>
        </is>
      </c>
      <c r="E68" s="9" t="inlineStr">
        <is>
          <t>手順どおり操作し、「期待結果」の記載とシステムの状態が一致することを確認した</t>
        </is>
      </c>
      <c r="F68" s="8" t="n">
        <v>20</v>
      </c>
      <c r="G68" s="8" t="inlineStr"/>
      <c r="H68" s="7" t="inlineStr"/>
      <c r="I68" s="9" t="inlineStr"/>
    </row>
    <row r="69" ht="18" customHeight="1">
      <c r="A69" s="6" t="n">
        <v>67</v>
      </c>
      <c r="B69" s="4" t="inlineStr">
        <is>
          <t>G 練習④</t>
        </is>
      </c>
      <c r="C69" s="4" t="inlineStr">
        <is>
          <t>4-4 出荷と PGI 601（VL01N / VL02N）</t>
        </is>
      </c>
      <c r="D69" s="6" t="inlineStr">
        <is>
          <t>handson-4.html</t>
        </is>
      </c>
      <c r="E69" s="4" t="inlineStr">
        <is>
          <t>手順どおり操作し、「期待結果」の記載とシステムの状態が一致することを確認した</t>
        </is>
      </c>
      <c r="F69" s="6" t="n">
        <v>20</v>
      </c>
      <c r="G69" s="6" t="inlineStr"/>
      <c r="H69" s="7" t="inlineStr"/>
      <c r="I69" s="4" t="inlineStr"/>
    </row>
    <row r="70" ht="18" customHeight="1">
      <c r="A70" s="8" t="n">
        <v>68</v>
      </c>
      <c r="B70" s="9" t="inlineStr">
        <is>
          <t>G 練習④</t>
        </is>
      </c>
      <c r="C70" s="9" t="inlineStr">
        <is>
          <t>4-5 請求（VF01）と伝票フロー（VA03）</t>
        </is>
      </c>
      <c r="D70" s="8" t="inlineStr">
        <is>
          <t>handson-4.html</t>
        </is>
      </c>
      <c r="E70" s="9" t="inlineStr">
        <is>
          <t>手順どおり操作し、「期待結果」の記載とシステムの状態が一致することを確認した</t>
        </is>
      </c>
      <c r="F70" s="8" t="n">
        <v>20</v>
      </c>
      <c r="G70" s="8" t="inlineStr"/>
      <c r="H70" s="7" t="inlineStr"/>
      <c r="I70" s="9" t="inlineStr"/>
    </row>
    <row r="71" ht="26" customHeight="1">
      <c r="A71" s="6" t="n">
        <v>69</v>
      </c>
      <c r="B71" s="4" t="inlineStr">
        <is>
          <t>G 練習④（验收）</t>
        </is>
      </c>
      <c r="C71" s="4" t="inlineStr">
        <is>
          <t>VA01 で受注 200 PC を登録し、明細カテゴリ TAN・納入日程行カテゴリ CP を確認した。</t>
        </is>
      </c>
      <c r="D71" s="6" t="inlineStr">
        <is>
          <t>handson-4.html</t>
        </is>
      </c>
      <c r="E71" s="4" t="inlineStr">
        <is>
          <t>VA01 で受注 200 PC を登録し、明細カテゴリ TAN・納入日程行カテゴリ CP を確認した。</t>
        </is>
      </c>
      <c r="F71" s="6" t="n">
        <v>5</v>
      </c>
      <c r="G71" s="6" t="inlineStr"/>
      <c r="H71" s="7" t="inlineStr"/>
      <c r="I71" s="4" t="inlineStr"/>
    </row>
    <row r="72" ht="18" customHeight="1">
      <c r="A72" s="8" t="n">
        <v>70</v>
      </c>
      <c r="B72" s="9" t="inlineStr">
        <is>
          <t>G 練習④（验收）</t>
        </is>
      </c>
      <c r="C72" s="9" t="inlineStr">
        <is>
          <t>CO09 で利用可能数量が受注前後で 500 → 300 に変わることを確認した。</t>
        </is>
      </c>
      <c r="D72" s="8" t="inlineStr">
        <is>
          <t>handson-4.html</t>
        </is>
      </c>
      <c r="E72" s="9" t="inlineStr">
        <is>
          <t>CO09 で利用可能数量が受注前後で 500 → 300 に変わることを確認した。</t>
        </is>
      </c>
      <c r="F72" s="8" t="n">
        <v>5</v>
      </c>
      <c r="G72" s="8" t="inlineStr"/>
      <c r="H72" s="7" t="inlineStr"/>
      <c r="I72" s="9" t="inlineStr"/>
    </row>
    <row r="73" ht="26" customHeight="1">
      <c r="A73" s="6" t="n">
        <v>71</v>
      </c>
      <c r="B73" s="4" t="inlineStr">
        <is>
          <t>G 練習④（验收）</t>
        </is>
      </c>
      <c r="C73" s="4" t="inlineStr">
        <is>
          <t>MD04 で PIR の消費済数量 200 を確認し、PBED の数量が変わっていないことも確認した。</t>
        </is>
      </c>
      <c r="D73" s="6" t="inlineStr">
        <is>
          <t>handson-4.html</t>
        </is>
      </c>
      <c r="E73" s="4" t="inlineStr">
        <is>
          <t>MD04 で PIR の消費済数量 200 を確認し、PBED の数量が変わっていないことも確認した。</t>
        </is>
      </c>
      <c r="F73" s="6" t="n">
        <v>5</v>
      </c>
      <c r="G73" s="6" t="inlineStr"/>
      <c r="H73" s="7" t="inlineStr"/>
      <c r="I73" s="4" t="inlineStr"/>
    </row>
    <row r="74" ht="18" customHeight="1">
      <c r="A74" s="8" t="n">
        <v>72</v>
      </c>
      <c r="B74" s="9" t="inlineStr">
        <is>
          <t>G 練習④（验收）</t>
        </is>
      </c>
      <c r="C74" s="9" t="inlineStr">
        <is>
          <t>消費と消減の違いを、自分の観察結果を例に説明できる。</t>
        </is>
      </c>
      <c r="D74" s="8" t="inlineStr">
        <is>
          <t>handson-4.html</t>
        </is>
      </c>
      <c r="E74" s="9" t="inlineStr">
        <is>
          <t>消費と消減の違いを、自分の観察結果を例に説明できる。</t>
        </is>
      </c>
      <c r="F74" s="8" t="n">
        <v>5</v>
      </c>
      <c r="G74" s="8" t="inlineStr"/>
      <c r="H74" s="7" t="inlineStr"/>
      <c r="I74" s="9" t="inlineStr"/>
    </row>
    <row r="75" ht="26" customHeight="1">
      <c r="A75" s="6" t="n">
        <v>73</v>
      </c>
      <c r="B75" s="4" t="inlineStr">
        <is>
          <t>G 練習④（验收）</t>
        </is>
      </c>
      <c r="C75" s="4" t="inlineStr">
        <is>
          <t>VL01N/VL02N で出荷・引当（在庫区分 空 = 自由在庫）・PGI 601 を完遂した。</t>
        </is>
      </c>
      <c r="D75" s="6" t="inlineStr">
        <is>
          <t>handson-4.html</t>
        </is>
      </c>
      <c r="E75" s="4" t="inlineStr">
        <is>
          <t>VL01N/VL02N で出荷・引当（在庫区分 空 = 自由在庫）・PGI 601 を完遂した。</t>
        </is>
      </c>
      <c r="F75" s="6" t="n">
        <v>5</v>
      </c>
      <c r="G75" s="6" t="inlineStr"/>
      <c r="H75" s="7" t="inlineStr"/>
      <c r="I75" s="4" t="inlineStr"/>
    </row>
    <row r="76" ht="18" customHeight="1">
      <c r="A76" s="8" t="n">
        <v>74</v>
      </c>
      <c r="B76" s="9" t="inlineStr">
        <is>
          <t>G 練習④（验收）</t>
        </is>
      </c>
      <c r="C76" s="9" t="inlineStr">
        <is>
          <t>MMBE で自由在庫が 300 PC に減っていることを確認した。</t>
        </is>
      </c>
      <c r="D76" s="8" t="inlineStr">
        <is>
          <t>handson-4.html</t>
        </is>
      </c>
      <c r="E76" s="9" t="inlineStr">
        <is>
          <t>MMBE で自由在庫が 300 PC に減っていることを確認した。</t>
        </is>
      </c>
      <c r="F76" s="8" t="n">
        <v>5</v>
      </c>
      <c r="G76" s="8" t="inlineStr"/>
      <c r="H76" s="7" t="inlineStr"/>
      <c r="I76" s="9" t="inlineStr"/>
    </row>
    <row r="77" ht="18" customHeight="1">
      <c r="A77" s="6" t="n">
        <v>75</v>
      </c>
      <c r="B77" s="4" t="inlineStr">
        <is>
          <t>G 練習④（验收）</t>
        </is>
      </c>
      <c r="C77" s="4" t="inlineStr">
        <is>
          <t>VF01 で請求 1,600,000 JPY を作成し、FB03 で会計伝票を確認した。</t>
        </is>
      </c>
      <c r="D77" s="6" t="inlineStr">
        <is>
          <t>handson-4.html</t>
        </is>
      </c>
      <c r="E77" s="4" t="inlineStr">
        <is>
          <t>VF01 で請求 1,600,000 JPY を作成し、FB03 で会計伝票を確認した。</t>
        </is>
      </c>
      <c r="F77" s="6" t="n">
        <v>5</v>
      </c>
      <c r="G77" s="6" t="inlineStr"/>
      <c r="H77" s="7" t="inlineStr"/>
      <c r="I77" s="4" t="inlineStr"/>
    </row>
    <row r="78" ht="26" customHeight="1">
      <c r="A78" s="8" t="n">
        <v>76</v>
      </c>
      <c r="B78" s="9" t="inlineStr">
        <is>
          <t>G 練習④（验收）</t>
        </is>
      </c>
      <c r="C78" s="9" t="inlineStr">
        <is>
          <t>VA03 の伝票フローが 受注 → 出荷 → 請求 → 会計伝票 で閉じていることを確認した。</t>
        </is>
      </c>
      <c r="D78" s="8" t="inlineStr">
        <is>
          <t>handson-4.html</t>
        </is>
      </c>
      <c r="E78" s="9" t="inlineStr">
        <is>
          <t>VA03 の伝票フローが 受注 → 出荷 → 請求 → 会計伝票 で閉じていることを確認した。</t>
        </is>
      </c>
      <c r="F78" s="8" t="n">
        <v>5</v>
      </c>
      <c r="G78" s="8" t="inlineStr"/>
      <c r="H78" s="7" t="inlineStr"/>
      <c r="I78" s="9" t="inlineStr"/>
    </row>
    <row r="79" ht="18" customHeight="1">
      <c r="A79" s="6" t="n">
        <v>77</v>
      </c>
      <c r="B79" s="4" t="inlineStr">
        <is>
          <t>H 練習⑤（発展・故障）</t>
        </is>
      </c>
      <c r="C79" s="4" t="inlineStr">
        <is>
          <t>5-1 差異計算（KKS1 一括 / KKS2 単品目）</t>
        </is>
      </c>
      <c r="D79" s="6" t="inlineStr">
        <is>
          <t>handson-5.html</t>
        </is>
      </c>
      <c r="E79" s="4" t="inlineStr">
        <is>
          <t>手順どおり操作し、「期待結果」の記載とシステムの状態が一致することを確認した</t>
        </is>
      </c>
      <c r="F79" s="6" t="n">
        <v>20</v>
      </c>
      <c r="G79" s="6" t="inlineStr"/>
      <c r="H79" s="7" t="inlineStr"/>
      <c r="I79" s="4" t="inlineStr"/>
    </row>
    <row r="80" ht="18" customHeight="1">
      <c r="A80" s="8" t="n">
        <v>78</v>
      </c>
      <c r="B80" s="9" t="inlineStr">
        <is>
          <t>H 練習⑤（発展・故障）</t>
        </is>
      </c>
      <c r="C80" s="9" t="inlineStr">
        <is>
          <t>5-2 指図の決済（KO88 / CO88）</t>
        </is>
      </c>
      <c r="D80" s="8" t="inlineStr">
        <is>
          <t>handson-5.html</t>
        </is>
      </c>
      <c r="E80" s="9" t="inlineStr">
        <is>
          <t>手順どおり操作し、「期待結果」の記載とシステムの状態が一致することを確認した</t>
        </is>
      </c>
      <c r="F80" s="8" t="n">
        <v>20</v>
      </c>
      <c r="G80" s="8" t="inlineStr"/>
      <c r="H80" s="7" t="inlineStr"/>
      <c r="I80" s="9" t="inlineStr"/>
    </row>
    <row r="81" ht="18" customHeight="1">
      <c r="A81" s="6" t="n">
        <v>79</v>
      </c>
      <c r="B81" s="4" t="inlineStr">
        <is>
          <t>H 練習⑤（発展・故障）</t>
        </is>
      </c>
      <c r="C81" s="4" t="inlineStr">
        <is>
          <t>5-3 棚卸（MI01 / MI04 / MI07）</t>
        </is>
      </c>
      <c r="D81" s="6" t="inlineStr">
        <is>
          <t>handson-5.html</t>
        </is>
      </c>
      <c r="E81" s="4" t="inlineStr">
        <is>
          <t>手順どおり操作し、「期待結果」の記載とシステムの状態が一致することを確認した</t>
        </is>
      </c>
      <c r="F81" s="6" t="n">
        <v>20</v>
      </c>
      <c r="G81" s="6" t="inlineStr"/>
      <c r="H81" s="7" t="inlineStr"/>
      <c r="I81" s="4" t="inlineStr"/>
    </row>
    <row r="82" ht="18" customHeight="1">
      <c r="A82" s="8" t="n">
        <v>80</v>
      </c>
      <c r="B82" s="9" t="inlineStr">
        <is>
          <t>H 練習⑤（発展・故障）</t>
        </is>
      </c>
      <c r="C82" s="9" t="inlineStr">
        <is>
          <t>5-4 安全在庫切れ・欠品時の対応（見込生産の「救急セット」）</t>
        </is>
      </c>
      <c r="D82" s="8" t="inlineStr">
        <is>
          <t>handson-5.html</t>
        </is>
      </c>
      <c r="E82" s="9" t="inlineStr">
        <is>
          <t>手順どおり操作し、「期待結果」の記載とシステムの状態が一致することを確認した</t>
        </is>
      </c>
      <c r="F82" s="8" t="n">
        <v>20</v>
      </c>
      <c r="G82" s="8" t="inlineStr"/>
      <c r="H82" s="7" t="inlineStr"/>
      <c r="I82" s="9" t="inlineStr"/>
    </row>
    <row r="83" ht="18" customHeight="1">
      <c r="A83" s="6" t="n">
        <v>81</v>
      </c>
      <c r="B83" s="4" t="inlineStr">
        <is>
          <t>H 練習⑤（発展・故障）</t>
        </is>
      </c>
      <c r="C83" s="4" t="inlineStr">
        <is>
          <t>5-5 見込在庫と受注の取り合い（MTS の経営的な意味）</t>
        </is>
      </c>
      <c r="D83" s="6" t="inlineStr">
        <is>
          <t>handson-5.html</t>
        </is>
      </c>
      <c r="E83" s="4" t="inlineStr">
        <is>
          <t>手順どおり操作し、「期待結果」の記載とシステムの状態が一致することを確認した</t>
        </is>
      </c>
      <c r="F83" s="6" t="n">
        <v>20</v>
      </c>
      <c r="G83" s="6" t="inlineStr"/>
      <c r="H83" s="7" t="inlineStr"/>
      <c r="I83" s="4" t="inlineStr"/>
    </row>
    <row r="84" ht="18" customHeight="1">
      <c r="A84" s="8" t="n">
        <v>82</v>
      </c>
      <c r="B84" s="9" t="inlineStr">
        <is>
          <t>H 練習⑤（発展・故障）</t>
        </is>
      </c>
      <c r="C84" s="9" t="inlineStr">
        <is>
          <t>5-7 MD04 の読み方表（MTS 场景里最常出现的行）</t>
        </is>
      </c>
      <c r="D84" s="8" t="inlineStr">
        <is>
          <t>handson-5.html</t>
        </is>
      </c>
      <c r="E84" s="9" t="inlineStr">
        <is>
          <t>手順どおり操作し、「期待結果」の記載とシステムの状態が一致することを確認した</t>
        </is>
      </c>
      <c r="F84" s="8" t="n">
        <v>20</v>
      </c>
      <c r="G84" s="8" t="inlineStr"/>
      <c r="H84" s="7" t="inlineStr"/>
      <c r="I84" s="9" t="inlineStr"/>
    </row>
    <row r="85" ht="18" customHeight="1">
      <c r="A85" s="6" t="n">
        <v>83</v>
      </c>
      <c r="B85" s="4" t="inlineStr">
        <is>
          <t>H 練習⑤（発展・故障）</t>
        </is>
      </c>
      <c r="C85" s="4" t="inlineStr">
        <is>
          <t>5-8 発展課題</t>
        </is>
      </c>
      <c r="D85" s="6" t="inlineStr">
        <is>
          <t>handson-5.html</t>
        </is>
      </c>
      <c r="E85" s="4" t="inlineStr">
        <is>
          <t>手順どおり操作し、「期待結果」の記載とシステムの状態が一致することを確認した</t>
        </is>
      </c>
      <c r="F85" s="6" t="n">
        <v>20</v>
      </c>
      <c r="G85" s="6" t="inlineStr"/>
      <c r="H85" s="7" t="inlineStr"/>
      <c r="I85" s="4" t="inlineStr"/>
    </row>
    <row r="86" ht="18" customHeight="1">
      <c r="A86" s="8" t="n">
        <v>84</v>
      </c>
      <c r="B86" s="9" t="inlineStr">
        <is>
          <t>H 練習⑤（発展・故障）（验收）</t>
        </is>
      </c>
      <c r="C86" s="9" t="inlineStr">
        <is>
          <t>KKS2（或は KKS1）で差異を計算し、差異カテゴリ別の内訳を読んだ。</t>
        </is>
      </c>
      <c r="D86" s="8" t="inlineStr">
        <is>
          <t>handson-5.html</t>
        </is>
      </c>
      <c r="E86" s="9" t="inlineStr">
        <is>
          <t>KKS2（或は KKS1）で差異を計算し、差異カテゴリ別の内訳を読んだ。</t>
        </is>
      </c>
      <c r="F86" s="8" t="n">
        <v>5</v>
      </c>
      <c r="G86" s="8" t="inlineStr"/>
      <c r="H86" s="7" t="inlineStr"/>
      <c r="I86" s="9" t="inlineStr"/>
    </row>
    <row r="87" ht="18" customHeight="1">
      <c r="A87" s="6" t="n">
        <v>85</v>
      </c>
      <c r="B87" s="4" t="inlineStr">
        <is>
          <t>H 練習⑤（発展・故障）（验收）</t>
        </is>
      </c>
      <c r="C87" s="4" t="inlineStr">
        <is>
          <t>KO88（或は CO88）で決済し、FB03 で会計伝票を確認した。</t>
        </is>
      </c>
      <c r="D87" s="6" t="inlineStr">
        <is>
          <t>handson-5.html</t>
        </is>
      </c>
      <c r="E87" s="4" t="inlineStr">
        <is>
          <t>KO88（或は CO88）で決済し、FB03 で会計伝票を確認した。</t>
        </is>
      </c>
      <c r="F87" s="6" t="n">
        <v>5</v>
      </c>
      <c r="G87" s="6" t="inlineStr"/>
      <c r="H87" s="7" t="inlineStr"/>
      <c r="I87" s="4" t="inlineStr"/>
    </row>
    <row r="88" ht="18" customHeight="1">
      <c r="A88" s="8" t="n">
        <v>86</v>
      </c>
      <c r="B88" s="9" t="inlineStr">
        <is>
          <t>H 練習⑤（発展・故障）（验收）</t>
        </is>
      </c>
      <c r="C88" s="9" t="inlineStr">
        <is>
          <t>差异的 3 个去向（在库 / 卖上原价 / 差异勘定）を自分の言葉で説明できる。</t>
        </is>
      </c>
      <c r="D88" s="8" t="inlineStr">
        <is>
          <t>handson-5.html</t>
        </is>
      </c>
      <c r="E88" s="9" t="inlineStr">
        <is>
          <t>差异的 3 个去向（在库 / 卖上原价 / 差异勘定）を自分の言葉で説明できる。</t>
        </is>
      </c>
      <c r="F88" s="8" t="n">
        <v>5</v>
      </c>
      <c r="G88" s="8" t="inlineStr"/>
      <c r="H88" s="7" t="inlineStr"/>
      <c r="I88" s="9" t="inlineStr"/>
    </row>
    <row r="89" ht="18" customHeight="1">
      <c r="A89" s="6" t="n">
        <v>87</v>
      </c>
      <c r="B89" s="4" t="inlineStr">
        <is>
          <t>H 練習⑤（発展・故障）（验收）</t>
        </is>
      </c>
      <c r="C89" s="4" t="inlineStr">
        <is>
          <t>棚卸（MI01→MI04→MI07）を 1 回通り抜け、差異の転記を確認した。</t>
        </is>
      </c>
      <c r="D89" s="6" t="inlineStr">
        <is>
          <t>handson-5.html</t>
        </is>
      </c>
      <c r="E89" s="4" t="inlineStr">
        <is>
          <t>棚卸（MI01→MI04→MI07）を 1 回通り抜け、差異の転記を確認した。</t>
        </is>
      </c>
      <c r="F89" s="6" t="n">
        <v>5</v>
      </c>
      <c r="G89" s="6" t="inlineStr"/>
      <c r="H89" s="7" t="inlineStr"/>
      <c r="I89" s="4" t="inlineStr"/>
    </row>
    <row r="90" ht="18" customHeight="1">
      <c r="A90" s="8" t="n">
        <v>88</v>
      </c>
      <c r="B90" s="9" t="inlineStr">
        <is>
          <t>H 練習⑤（発展・故障）（验收）</t>
        </is>
      </c>
      <c r="C90" s="9" t="inlineStr">
        <is>
          <t>安全在庫切れ・欠品の切り分け 5 手顺を、実際の T-code を挙げて言える。</t>
        </is>
      </c>
      <c r="D90" s="8" t="inlineStr">
        <is>
          <t>handson-5.html</t>
        </is>
      </c>
      <c r="E90" s="9" t="inlineStr">
        <is>
          <t>安全在庫切れ・欠品の切り分け 5 手顺を、実際の T-code を挙げて言える。</t>
        </is>
      </c>
      <c r="F90" s="8" t="n">
        <v>5</v>
      </c>
      <c r="G90" s="8" t="inlineStr"/>
      <c r="H90" s="7" t="inlineStr"/>
      <c r="I90" s="9" t="inlineStr"/>
    </row>
    <row r="91" ht="18" customHeight="1">
      <c r="A91" s="6" t="n">
        <v>89</v>
      </c>
      <c r="B91" s="4" t="inlineStr">
        <is>
          <t>H 練習⑤（発展・故障）（验收）</t>
        </is>
      </c>
      <c r="C91" s="4" t="inlineStr">
        <is>
          <t>MD04 の 8 種類の行を、「需要か供給か」「どこから来たか」で分類できる。</t>
        </is>
      </c>
      <c r="D91" s="6" t="inlineStr">
        <is>
          <t>handson-5.html</t>
        </is>
      </c>
      <c r="E91" s="4" t="inlineStr">
        <is>
          <t>MD04 の 8 種類の行を、「需要か供給か」「どこから来たか」で分類できる。</t>
        </is>
      </c>
      <c r="F91" s="6" t="n">
        <v>5</v>
      </c>
      <c r="G91" s="6" t="inlineStr"/>
      <c r="H91" s="7" t="inlineStr"/>
      <c r="I91" s="4" t="inlineStr"/>
    </row>
    <row r="92" ht="26" customHeight="1">
      <c r="A92" s="8" t="n">
        <v>90</v>
      </c>
      <c r="B92" s="9" t="inlineStr">
        <is>
          <t>H 練習⑤（発展・故障）（验收）</t>
        </is>
      </c>
      <c r="C92" s="9" t="inlineStr">
        <is>
          <t>故障対照表の 12 項のうち3 項以上を、症状 → 根因 → 确认手顺で説明できる（資料を見ずに）。</t>
        </is>
      </c>
      <c r="D92" s="8" t="inlineStr">
        <is>
          <t>handson-5.html</t>
        </is>
      </c>
      <c r="E92" s="9" t="inlineStr">
        <is>
          <t>故障対照表の 12 項のうち3 項以上を、症状 → 根因 → 确认手顺で説明できる（資料を見ずに）。</t>
        </is>
      </c>
      <c r="F92" s="8" t="n">
        <v>5</v>
      </c>
      <c r="G92" s="8" t="inlineStr"/>
      <c r="H92" s="7" t="inlineStr"/>
      <c r="I92" s="9" t="inlineStr"/>
    </row>
    <row r="93" ht="26" customHeight="1">
      <c r="A93" s="6" t="n">
        <v>91</v>
      </c>
      <c r="B93" s="4" t="inlineStr">
        <is>
          <t>H 練習⑤（発展・故障）（验收）</t>
        </is>
      </c>
      <c r="C93" s="4" t="inlineStr">
        <is>
          <t>発展課題のうち2 つ以上を実際に実行した（戦略 10 との比較・部品の購買化・ロットサイズ比較 など）。</t>
        </is>
      </c>
      <c r="D93" s="6" t="inlineStr">
        <is>
          <t>handson-5.html</t>
        </is>
      </c>
      <c r="E93" s="4" t="inlineStr">
        <is>
          <t>発展課題のうち2 つ以上を実際に実行した（戦略 10 との比較・部品の購買化・ロットサイズ比較 など）。</t>
        </is>
      </c>
      <c r="F93" s="6" t="n">
        <v>5</v>
      </c>
      <c r="G93" s="6" t="inlineStr"/>
      <c r="H93" s="7" t="inlineStr"/>
      <c r="I93" s="4" t="inlineStr"/>
    </row>
    <row r="94" ht="18" customHeight="1">
      <c r="A94" s="8" t="n">
        <v>92</v>
      </c>
      <c r="B94" s="9" t="inlineStr">
        <is>
          <t>I 受講者版</t>
        </is>
      </c>
      <c r="C94" s="9" t="inlineStr">
        <is>
          <t>ワークシート（worksheet.html）を埋める</t>
        </is>
      </c>
      <c r="D94" s="8" t="inlineStr">
        <is>
          <t>worksheet.html</t>
        </is>
      </c>
      <c r="E94" s="9" t="inlineStr">
        <is>
          <t>各シートを記入し、伝票番号・数値・故障記録が揃った</t>
        </is>
      </c>
      <c r="F94" s="8" t="n">
        <v>60</v>
      </c>
      <c r="G94" s="8" t="inlineStr"/>
      <c r="H94" s="7" t="inlineStr"/>
      <c r="I94" s="9" t="inlineStr"/>
    </row>
    <row r="95" ht="18" customHeight="1">
      <c r="A95" s="6" t="n">
        <v>93</v>
      </c>
      <c r="B95" s="4" t="inlineStr">
        <is>
          <t>J テスト</t>
        </is>
      </c>
      <c r="C95" s="4" t="inlineStr">
        <is>
          <t>能力测试（quiz.html）を受験する</t>
        </is>
      </c>
      <c r="D95" s="6" t="inlineStr">
        <is>
          <t>quiz.html</t>
        </is>
      </c>
      <c r="E95" s="4" t="inlineStr">
        <is>
          <t>合格ライン（75%）以上を取得した</t>
        </is>
      </c>
      <c r="F95" s="6" t="n">
        <v>30</v>
      </c>
      <c r="G95" s="6" t="inlineStr"/>
      <c r="H95" s="7" t="inlineStr"/>
      <c r="I95" s="4" t="inlineStr"/>
    </row>
    <row r="96" ht="18" customHeight="1">
      <c r="A96" s="8" t="n">
        <v>94</v>
      </c>
      <c r="B96" s="9" t="inlineStr">
        <is>
          <t>J テスト</t>
        </is>
      </c>
      <c r="C96" s="9" t="inlineStr">
        <is>
          <t>修了チェック（到達点）を通す</t>
        </is>
      </c>
      <c r="D96" s="8" t="inlineStr">
        <is>
          <t>quiz.html</t>
        </is>
      </c>
      <c r="E96" s="9" t="inlineStr">
        <is>
          <t>修了チェックリストの全項目にチェックが付いた</t>
        </is>
      </c>
      <c r="F96" s="8" t="n">
        <v>30</v>
      </c>
      <c r="G96" s="8" t="inlineStr"/>
      <c r="H96" s="7" t="inlineStr"/>
      <c r="I96" s="9" t="inlineStr"/>
    </row>
  </sheetData>
  <autoFilter ref="A2:I96"/>
  <mergeCells count="1">
    <mergeCell ref="A1:I1"/>
  </mergeCells>
  <dataValidations count="1">
    <dataValidation sqref="H3:H96" showDropDown="0" showInputMessage="0" showErrorMessage="0" allowBlank="1" error="○ / △ / × のいずれかを入力してください" promptTitle="自己判定" prompt="○ = できた / △ = 一部 / × = できない" type="list">
      <formula1>"○,△,×"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 ht="26" customHeight="1">
      <c r="A1" s="1" t="inlineStr">
        <is>
          <t>進捗サマリ（1_学習WBS の自己判定から自動集計）</t>
        </is>
      </c>
    </row>
    <row r="2">
      <c r="A2" s="5" t="inlineStr">
        <is>
          <t>フェーズ</t>
        </is>
      </c>
      <c r="B2" s="5" t="inlineStr">
        <is>
          <t>タスク数</t>
        </is>
      </c>
      <c r="C2" s="5" t="inlineStr">
        <is>
          <t>○</t>
        </is>
      </c>
      <c r="D2" s="5" t="inlineStr">
        <is>
          <t>△</t>
        </is>
      </c>
      <c r="E2" s="5" t="inlineStr">
        <is>
          <t>×</t>
        </is>
      </c>
      <c r="F2" s="5" t="inlineStr">
        <is>
          <t>完了率</t>
        </is>
      </c>
    </row>
    <row r="3">
      <c r="A3" s="4" t="inlineStr">
        <is>
          <t>A 総覧</t>
        </is>
      </c>
      <c r="B3" s="6">
        <f>COUNTIF('1_学習WBS'!$B$3:$B$96,$A3)</f>
        <v/>
      </c>
      <c r="C3" s="6">
        <f>COUNTIFS('1_学習WBS'!$B$3:$B$96,$A3,'1_学習WBS'!$H$3:$H$96,"○")</f>
        <v/>
      </c>
      <c r="D3" s="6">
        <f>COUNTIFS('1_学習WBS'!$B$3:$B$96,$A3,'1_学習WBS'!$H$3:$H$96,"△")</f>
        <v/>
      </c>
      <c r="E3" s="6">
        <f>COUNTIFS('1_学習WBS'!$B$3:$B$96,$A3,'1_学習WBS'!$H$3:$H$96,"×")</f>
        <v/>
      </c>
      <c r="F3" s="10">
        <f>IF(B3=0,"",ROUND(C3/B3*100,0)&amp;" %")</f>
        <v/>
      </c>
    </row>
    <row r="4">
      <c r="A4" s="4" t="inlineStr">
        <is>
          <t>B 概念と設計</t>
        </is>
      </c>
      <c r="B4" s="6">
        <f>COUNTIF('1_学習WBS'!$B$3:$B$96,$A4)</f>
        <v/>
      </c>
      <c r="C4" s="6">
        <f>COUNTIFS('1_学習WBS'!$B$3:$B$96,$A4,'1_学習WBS'!$H$3:$H$96,"○")</f>
        <v/>
      </c>
      <c r="D4" s="6">
        <f>COUNTIFS('1_学習WBS'!$B$3:$B$96,$A4,'1_学習WBS'!$H$3:$H$96,"△")</f>
        <v/>
      </c>
      <c r="E4" s="6">
        <f>COUNTIFS('1_学習WBS'!$B$3:$B$96,$A4,'1_学習WBS'!$H$3:$H$96,"×")</f>
        <v/>
      </c>
      <c r="F4" s="10">
        <f>IF(B4=0,"",ROUND(C4/B4*100,0)&amp;" %")</f>
        <v/>
      </c>
    </row>
    <row r="5">
      <c r="A5" s="4" t="inlineStr">
        <is>
          <t>C 配置（SPRO / マスタ）</t>
        </is>
      </c>
      <c r="B5" s="6">
        <f>COUNTIF('1_学習WBS'!$B$3:$B$96,$A5)</f>
        <v/>
      </c>
      <c r="C5" s="6">
        <f>COUNTIFS('1_学習WBS'!$B$3:$B$96,$A5,'1_学習WBS'!$H$3:$H$96,"○")</f>
        <v/>
      </c>
      <c r="D5" s="6">
        <f>COUNTIFS('1_学習WBS'!$B$3:$B$96,$A5,'1_学習WBS'!$H$3:$H$96,"△")</f>
        <v/>
      </c>
      <c r="E5" s="6">
        <f>COUNTIFS('1_学習WBS'!$B$3:$B$96,$A5,'1_学習WBS'!$H$3:$H$96,"×")</f>
        <v/>
      </c>
      <c r="F5" s="10">
        <f>IF(B5=0,"",ROUND(C5/B5*100,0)&amp;" %")</f>
        <v/>
      </c>
    </row>
    <row r="6">
      <c r="A6" s="4" t="inlineStr">
        <is>
          <t>D 練習①</t>
        </is>
      </c>
      <c r="B6" s="6">
        <f>COUNTIF('1_学習WBS'!$B$3:$B$96,$A6)</f>
        <v/>
      </c>
      <c r="C6" s="6">
        <f>COUNTIFS('1_学習WBS'!$B$3:$B$96,$A6,'1_学習WBS'!$H$3:$H$96,"○")</f>
        <v/>
      </c>
      <c r="D6" s="6">
        <f>COUNTIFS('1_学習WBS'!$B$3:$B$96,$A6,'1_学習WBS'!$H$3:$H$96,"△")</f>
        <v/>
      </c>
      <c r="E6" s="6">
        <f>COUNTIFS('1_学習WBS'!$B$3:$B$96,$A6,'1_学習WBS'!$H$3:$H$96,"×")</f>
        <v/>
      </c>
      <c r="F6" s="10">
        <f>IF(B6=0,"",ROUND(C6/B6*100,0)&amp;" %")</f>
        <v/>
      </c>
    </row>
    <row r="7">
      <c r="A7" s="4" t="inlineStr">
        <is>
          <t>D 練習①（验收）</t>
        </is>
      </c>
      <c r="B7" s="6">
        <f>COUNTIF('1_学習WBS'!$B$3:$B$96,$A7)</f>
        <v/>
      </c>
      <c r="C7" s="6">
        <f>COUNTIFS('1_学習WBS'!$B$3:$B$96,$A7,'1_学習WBS'!$H$3:$H$96,"○")</f>
        <v/>
      </c>
      <c r="D7" s="6">
        <f>COUNTIFS('1_学習WBS'!$B$3:$B$96,$A7,'1_学習WBS'!$H$3:$H$96,"△")</f>
        <v/>
      </c>
      <c r="E7" s="6">
        <f>COUNTIFS('1_学習WBS'!$B$3:$B$96,$A7,'1_学習WBS'!$H$3:$H$96,"×")</f>
        <v/>
      </c>
      <c r="F7" s="10">
        <f>IF(B7=0,"",ROUND(C7/B7*100,0)&amp;" %")</f>
        <v/>
      </c>
    </row>
    <row r="8">
      <c r="A8" s="4" t="inlineStr">
        <is>
          <t>E 練習②</t>
        </is>
      </c>
      <c r="B8" s="6">
        <f>COUNTIF('1_学習WBS'!$B$3:$B$96,$A8)</f>
        <v/>
      </c>
      <c r="C8" s="6">
        <f>COUNTIFS('1_学習WBS'!$B$3:$B$96,$A8,'1_学習WBS'!$H$3:$H$96,"○")</f>
        <v/>
      </c>
      <c r="D8" s="6">
        <f>COUNTIFS('1_学習WBS'!$B$3:$B$96,$A8,'1_学習WBS'!$H$3:$H$96,"△")</f>
        <v/>
      </c>
      <c r="E8" s="6">
        <f>COUNTIFS('1_学習WBS'!$B$3:$B$96,$A8,'1_学習WBS'!$H$3:$H$96,"×")</f>
        <v/>
      </c>
      <c r="F8" s="10">
        <f>IF(B8=0,"",ROUND(C8/B8*100,0)&amp;" %")</f>
        <v/>
      </c>
    </row>
    <row r="9">
      <c r="A9" s="4" t="inlineStr">
        <is>
          <t>E 練習②（验收）</t>
        </is>
      </c>
      <c r="B9" s="6">
        <f>COUNTIF('1_学習WBS'!$B$3:$B$96,$A9)</f>
        <v/>
      </c>
      <c r="C9" s="6">
        <f>COUNTIFS('1_学習WBS'!$B$3:$B$96,$A9,'1_学習WBS'!$H$3:$H$96,"○")</f>
        <v/>
      </c>
      <c r="D9" s="6">
        <f>COUNTIFS('1_学習WBS'!$B$3:$B$96,$A9,'1_学習WBS'!$H$3:$H$96,"△")</f>
        <v/>
      </c>
      <c r="E9" s="6">
        <f>COUNTIFS('1_学習WBS'!$B$3:$B$96,$A9,'1_学習WBS'!$H$3:$H$96,"×")</f>
        <v/>
      </c>
      <c r="F9" s="10">
        <f>IF(B9=0,"",ROUND(C9/B9*100,0)&amp;" %")</f>
        <v/>
      </c>
    </row>
    <row r="10">
      <c r="A10" s="4" t="inlineStr">
        <is>
          <t>F 練習③</t>
        </is>
      </c>
      <c r="B10" s="6">
        <f>COUNTIF('1_学習WBS'!$B$3:$B$96,$A10)</f>
        <v/>
      </c>
      <c r="C10" s="6">
        <f>COUNTIFS('1_学習WBS'!$B$3:$B$96,$A10,'1_学習WBS'!$H$3:$H$96,"○")</f>
        <v/>
      </c>
      <c r="D10" s="6">
        <f>COUNTIFS('1_学習WBS'!$B$3:$B$96,$A10,'1_学習WBS'!$H$3:$H$96,"△")</f>
        <v/>
      </c>
      <c r="E10" s="6">
        <f>COUNTIFS('1_学習WBS'!$B$3:$B$96,$A10,'1_学習WBS'!$H$3:$H$96,"×")</f>
        <v/>
      </c>
      <c r="F10" s="10">
        <f>IF(B10=0,"",ROUND(C10/B10*100,0)&amp;" %")</f>
        <v/>
      </c>
    </row>
    <row r="11">
      <c r="A11" s="4" t="inlineStr">
        <is>
          <t>F 練習③（验收）</t>
        </is>
      </c>
      <c r="B11" s="6">
        <f>COUNTIF('1_学習WBS'!$B$3:$B$96,$A11)</f>
        <v/>
      </c>
      <c r="C11" s="6">
        <f>COUNTIFS('1_学習WBS'!$B$3:$B$96,$A11,'1_学習WBS'!$H$3:$H$96,"○")</f>
        <v/>
      </c>
      <c r="D11" s="6">
        <f>COUNTIFS('1_学習WBS'!$B$3:$B$96,$A11,'1_学習WBS'!$H$3:$H$96,"△")</f>
        <v/>
      </c>
      <c r="E11" s="6">
        <f>COUNTIFS('1_学習WBS'!$B$3:$B$96,$A11,'1_学習WBS'!$H$3:$H$96,"×")</f>
        <v/>
      </c>
      <c r="F11" s="10">
        <f>IF(B11=0,"",ROUND(C11/B11*100,0)&amp;" %")</f>
        <v/>
      </c>
    </row>
    <row r="12">
      <c r="A12" s="4" t="inlineStr">
        <is>
          <t>G 練習④</t>
        </is>
      </c>
      <c r="B12" s="6">
        <f>COUNTIF('1_学習WBS'!$B$3:$B$96,$A12)</f>
        <v/>
      </c>
      <c r="C12" s="6">
        <f>COUNTIFS('1_学習WBS'!$B$3:$B$96,$A12,'1_学習WBS'!$H$3:$H$96,"○")</f>
        <v/>
      </c>
      <c r="D12" s="6">
        <f>COUNTIFS('1_学習WBS'!$B$3:$B$96,$A12,'1_学習WBS'!$H$3:$H$96,"△")</f>
        <v/>
      </c>
      <c r="E12" s="6">
        <f>COUNTIFS('1_学習WBS'!$B$3:$B$96,$A12,'1_学習WBS'!$H$3:$H$96,"×")</f>
        <v/>
      </c>
      <c r="F12" s="10">
        <f>IF(B12=0,"",ROUND(C12/B12*100,0)&amp;" %")</f>
        <v/>
      </c>
    </row>
    <row r="13">
      <c r="A13" s="4" t="inlineStr">
        <is>
          <t>G 練習④（验收）</t>
        </is>
      </c>
      <c r="B13" s="6">
        <f>COUNTIF('1_学習WBS'!$B$3:$B$96,$A13)</f>
        <v/>
      </c>
      <c r="C13" s="6">
        <f>COUNTIFS('1_学習WBS'!$B$3:$B$96,$A13,'1_学習WBS'!$H$3:$H$96,"○")</f>
        <v/>
      </c>
      <c r="D13" s="6">
        <f>COUNTIFS('1_学習WBS'!$B$3:$B$96,$A13,'1_学習WBS'!$H$3:$H$96,"△")</f>
        <v/>
      </c>
      <c r="E13" s="6">
        <f>COUNTIFS('1_学習WBS'!$B$3:$B$96,$A13,'1_学習WBS'!$H$3:$H$96,"×")</f>
        <v/>
      </c>
      <c r="F13" s="10">
        <f>IF(B13=0,"",ROUND(C13/B13*100,0)&amp;" %")</f>
        <v/>
      </c>
    </row>
    <row r="14">
      <c r="A14" s="4" t="inlineStr">
        <is>
          <t>H 練習⑤（発展・故障）</t>
        </is>
      </c>
      <c r="B14" s="6">
        <f>COUNTIF('1_学習WBS'!$B$3:$B$96,$A14)</f>
        <v/>
      </c>
      <c r="C14" s="6">
        <f>COUNTIFS('1_学習WBS'!$B$3:$B$96,$A14,'1_学習WBS'!$H$3:$H$96,"○")</f>
        <v/>
      </c>
      <c r="D14" s="6">
        <f>COUNTIFS('1_学習WBS'!$B$3:$B$96,$A14,'1_学習WBS'!$H$3:$H$96,"△")</f>
        <v/>
      </c>
      <c r="E14" s="6">
        <f>COUNTIFS('1_学習WBS'!$B$3:$B$96,$A14,'1_学習WBS'!$H$3:$H$96,"×")</f>
        <v/>
      </c>
      <c r="F14" s="10">
        <f>IF(B14=0,"",ROUND(C14/B14*100,0)&amp;" %")</f>
        <v/>
      </c>
    </row>
    <row r="15">
      <c r="A15" s="4" t="inlineStr">
        <is>
          <t>H 練習⑤（発展・故障）（验收）</t>
        </is>
      </c>
      <c r="B15" s="6">
        <f>COUNTIF('1_学習WBS'!$B$3:$B$96,$A15)</f>
        <v/>
      </c>
      <c r="C15" s="6">
        <f>COUNTIFS('1_学習WBS'!$B$3:$B$96,$A15,'1_学習WBS'!$H$3:$H$96,"○")</f>
        <v/>
      </c>
      <c r="D15" s="6">
        <f>COUNTIFS('1_学習WBS'!$B$3:$B$96,$A15,'1_学習WBS'!$H$3:$H$96,"△")</f>
        <v/>
      </c>
      <c r="E15" s="6">
        <f>COUNTIFS('1_学習WBS'!$B$3:$B$96,$A15,'1_学習WBS'!$H$3:$H$96,"×")</f>
        <v/>
      </c>
      <c r="F15" s="10">
        <f>IF(B15=0,"",ROUND(C15/B15*100,0)&amp;" %")</f>
        <v/>
      </c>
    </row>
    <row r="16">
      <c r="A16" s="4" t="inlineStr">
        <is>
          <t>I 受講者版</t>
        </is>
      </c>
      <c r="B16" s="6">
        <f>COUNTIF('1_学習WBS'!$B$3:$B$96,$A16)</f>
        <v/>
      </c>
      <c r="C16" s="6">
        <f>COUNTIFS('1_学習WBS'!$B$3:$B$96,$A16,'1_学習WBS'!$H$3:$H$96,"○")</f>
        <v/>
      </c>
      <c r="D16" s="6">
        <f>COUNTIFS('1_学習WBS'!$B$3:$B$96,$A16,'1_学習WBS'!$H$3:$H$96,"△")</f>
        <v/>
      </c>
      <c r="E16" s="6">
        <f>COUNTIFS('1_学習WBS'!$B$3:$B$96,$A16,'1_学習WBS'!$H$3:$H$96,"×")</f>
        <v/>
      </c>
      <c r="F16" s="10">
        <f>IF(B16=0,"",ROUND(C16/B16*100,0)&amp;" %")</f>
        <v/>
      </c>
    </row>
    <row r="17">
      <c r="A17" s="4" t="inlineStr">
        <is>
          <t>J テスト</t>
        </is>
      </c>
      <c r="B17" s="6">
        <f>COUNTIF('1_学習WBS'!$B$3:$B$96,$A17)</f>
        <v/>
      </c>
      <c r="C17" s="6">
        <f>COUNTIFS('1_学習WBS'!$B$3:$B$96,$A17,'1_学習WBS'!$H$3:$H$96,"○")</f>
        <v/>
      </c>
      <c r="D17" s="6">
        <f>COUNTIFS('1_学習WBS'!$B$3:$B$96,$A17,'1_学習WBS'!$H$3:$H$96,"△")</f>
        <v/>
      </c>
      <c r="E17" s="6">
        <f>COUNTIFS('1_学習WBS'!$B$3:$B$96,$A17,'1_学習WBS'!$H$3:$H$96,"×")</f>
        <v/>
      </c>
      <c r="F17" s="10">
        <f>IF(B17=0,"",ROUND(C17/B17*100,0)&amp;" %")</f>
        <v/>
      </c>
    </row>
    <row r="18">
      <c r="A18" s="11" t="inlineStr">
        <is>
          <t>合計 / 全体</t>
        </is>
      </c>
      <c r="B18" s="12">
        <f>SUM(B3:B17)</f>
        <v/>
      </c>
      <c r="C18" s="12">
        <f>SUM(C3:C17)</f>
        <v/>
      </c>
      <c r="D18" s="12">
        <f>SUM(D3:D17)</f>
        <v/>
      </c>
      <c r="E18" s="12">
        <f>SUM(E3:E17)</f>
        <v/>
      </c>
      <c r="F18" s="12">
        <f>IF(B18=0,"",ROUND(C18/B18*100,0)&amp;" %")</f>
        <v/>
      </c>
    </row>
    <row r="20">
      <c r="A20" s="13" t="inlineStr">
        <is>
          <t>実施合計時間（分）</t>
        </is>
      </c>
      <c r="B20" s="14">
        <f>SUM('1_学習WBS'!$F$3:$F$96)</f>
        <v/>
      </c>
    </row>
    <row r="21">
      <c r="A21" s="13" t="inlineStr">
        <is>
          <t>○ のみの合計時間（分）</t>
        </is>
      </c>
      <c r="B21" s="14">
        <f>SUMIFS('1_学習WBS'!$F$3:$F$96,'1_学習WBS'!$H$3:$H$96,"○")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0" customWidth="1" min="4" max="4"/>
    <col width="12" customWidth="1" min="5" max="5"/>
    <col width="34" customWidth="1" min="6" max="6"/>
  </cols>
  <sheetData>
    <row r="1" ht="26" customHeight="1">
      <c r="A1" s="1" t="inlineStr">
        <is>
          <t>実機記録（伝票番号・数値・証跡）— 講師の確認対象</t>
        </is>
      </c>
    </row>
    <row r="2">
      <c r="A2" s="5" t="inlineStr">
        <is>
          <t>#</t>
        </is>
      </c>
      <c r="B2" s="5" t="inlineStr">
        <is>
          <t>記録項目</t>
        </is>
      </c>
      <c r="C2" s="5" t="inlineStr">
        <is>
          <t>期待値・見方</t>
        </is>
      </c>
      <c r="D2" s="5" t="inlineStr">
        <is>
          <t>実測値 / 伝票番号</t>
        </is>
      </c>
      <c r="E2" s="5" t="inlineStr">
        <is>
          <t>実施日</t>
        </is>
      </c>
      <c r="F2" s="5" t="inlineStr">
        <is>
          <t>証跡メモ</t>
        </is>
      </c>
    </row>
    <row r="3" ht="22" customHeight="1">
      <c r="A3" s="6" t="n">
        <v>1</v>
      </c>
      <c r="B3" s="4" t="inlineStr">
        <is>
          <t>PIR 登録（MD61）の品目・数量・期間</t>
        </is>
      </c>
      <c r="C3" s="4" t="inlineStr">
        <is>
          <t>月次 500 PC など</t>
        </is>
      </c>
      <c r="D3" s="15" t="n"/>
      <c r="E3" s="16" t="n"/>
      <c r="F3" s="15" t="n"/>
    </row>
    <row r="4" ht="22" customHeight="1">
      <c r="A4" s="6" t="n">
        <v>2</v>
      </c>
      <c r="B4" s="4" t="inlineStr">
        <is>
          <t>MD04 の需要行（PIR / 受注）</t>
        </is>
      </c>
      <c r="C4" s="4" t="inlineStr">
        <is>
          <t>消費後の残を記録</t>
        </is>
      </c>
      <c r="D4" s="15" t="n"/>
      <c r="E4" s="16" t="n"/>
      <c r="F4" s="15" t="n"/>
    </row>
    <row r="5" ht="22" customHeight="1">
      <c r="A5" s="6" t="n">
        <v>3</v>
      </c>
      <c r="B5" s="4" t="inlineStr">
        <is>
          <t>計画手配番号（MD04）</t>
        </is>
      </c>
      <c r="C5" s="4" t="inlineStr">
        <is>
          <t>MRP 実行後に生成</t>
        </is>
      </c>
      <c r="D5" s="15" t="n"/>
      <c r="E5" s="16" t="n"/>
      <c r="F5" s="15" t="n"/>
    </row>
    <row r="6" ht="22" customHeight="1">
      <c r="A6" s="6" t="n">
        <v>4</v>
      </c>
      <c r="B6" s="4" t="inlineStr">
        <is>
          <t>製造指図番号（CO01 / CO40）</t>
        </is>
      </c>
      <c r="C6" s="4" t="inlineStr">
        <is>
          <t>標準原価が入っていること</t>
        </is>
      </c>
      <c r="D6" s="15" t="n"/>
      <c r="E6" s="16" t="n"/>
      <c r="F6" s="15" t="n"/>
    </row>
    <row r="7" ht="22" customHeight="1">
      <c r="A7" s="6" t="n">
        <v>5</v>
      </c>
      <c r="B7" s="4" t="inlineStr">
        <is>
          <t>部品出庫（261）・完成品入庫（101）の数量</t>
        </is>
      </c>
      <c r="C7" s="4" t="inlineStr">
        <is>
          <t>指図数量と一致</t>
        </is>
      </c>
      <c r="D7" s="15" t="n"/>
      <c r="E7" s="16" t="n"/>
      <c r="F7" s="15" t="n"/>
    </row>
    <row r="8" ht="22" customHeight="1">
      <c r="A8" s="6" t="n">
        <v>6</v>
      </c>
      <c r="B8" s="4" t="inlineStr">
        <is>
          <t>自由在庫の数量（MMBE / MB52）</t>
        </is>
      </c>
      <c r="C8" s="4" t="inlineStr">
        <is>
          <t>入庫後に増加</t>
        </is>
      </c>
      <c r="D8" s="15" t="n"/>
      <c r="E8" s="16" t="n"/>
      <c r="F8" s="15" t="n"/>
    </row>
    <row r="9" ht="22" customHeight="1">
      <c r="A9" s="6" t="n">
        <v>7</v>
      </c>
      <c r="B9" s="4" t="inlineStr">
        <is>
          <t>受注番号と引当結果（CO09）</t>
        </is>
      </c>
      <c r="C9" s="4" t="inlineStr">
        <is>
          <t>不足なし／不足数量</t>
        </is>
      </c>
      <c r="D9" s="15" t="n"/>
      <c r="E9" s="16" t="n"/>
      <c r="F9" s="15" t="n"/>
    </row>
    <row r="10" ht="22" customHeight="1">
      <c r="A10" s="6" t="n">
        <v>8</v>
      </c>
      <c r="B10" s="4" t="inlineStr">
        <is>
          <t>出荷・請求の伝票番号（VL01N / VF01）</t>
        </is>
      </c>
      <c r="C10" s="4" t="inlineStr">
        <is>
          <t>数量・金額</t>
        </is>
      </c>
      <c r="D10" s="15" t="n"/>
      <c r="E10" s="16" t="n"/>
      <c r="F10" s="15" t="n"/>
    </row>
    <row r="11" ht="22" customHeight="1">
      <c r="A11" s="6" t="n">
        <v>9</v>
      </c>
      <c r="B11" s="4" t="inlineStr">
        <is>
          <t>指図の差異額（KKS1 / KO88）</t>
        </is>
      </c>
      <c r="C11" s="4" t="inlineStr">
        <is>
          <t>標準原価との差（±）</t>
        </is>
      </c>
      <c r="D11" s="15" t="n"/>
      <c r="E11" s="16" t="n"/>
      <c r="F11" s="15" t="n"/>
    </row>
    <row r="12" ht="22" customHeight="1">
      <c r="A12" s="6" t="n">
        <v>10</v>
      </c>
      <c r="B12" s="4" t="inlineStr">
        <is>
          <t>伝票フロー（VA03）に揃った伝票</t>
        </is>
      </c>
      <c r="C12" s="4" t="inlineStr">
        <is>
          <t>受注 → 引当 → 出荷 → 請求</t>
        </is>
      </c>
      <c r="D12" s="15" t="n"/>
      <c r="E12" s="16" t="n"/>
      <c r="F12" s="15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  <col width="14" customWidth="1" min="3" max="3"/>
  </cols>
  <sheetData>
    <row r="1" ht="26" customHeight="1">
      <c r="A1" s="1" t="inlineStr">
        <is>
          <t>修了判定（到達点チェックと講師確認）</t>
        </is>
      </c>
    </row>
    <row r="2">
      <c r="A2" s="5" t="inlineStr">
        <is>
          <t>#</t>
        </is>
      </c>
      <c r="B2" s="5" t="inlineStr">
        <is>
          <t>到達点（これが言えたら本教材は修了）</t>
        </is>
      </c>
      <c r="C2" s="5" t="inlineStr">
        <is>
          <t>チェック</t>
        </is>
      </c>
    </row>
    <row r="3" ht="20" customHeight="1">
      <c r="A3" s="6" t="n">
        <v>1</v>
      </c>
      <c r="B3" s="4" t="inlineStr">
        <is>
          <t>PIR → MRP → 指図 → 入庫 → 受注 → 出荷 → 請求 を 1 人で通した</t>
        </is>
      </c>
      <c r="C3" s="16" t="inlineStr"/>
    </row>
    <row r="4" ht="20" customHeight="1">
      <c r="A4" s="6" t="n">
        <v>2</v>
      </c>
      <c r="B4" s="4" t="inlineStr">
        <is>
          <t>自由在庫（MARD）と受注在庫（MSKA）の違いを、実機の画面で説明できた</t>
        </is>
      </c>
      <c r="C4" s="16" t="inlineStr"/>
    </row>
    <row r="5" ht="20" customHeight="1">
      <c r="A5" s="6" t="n">
        <v>3</v>
      </c>
      <c r="B5" s="4" t="inlineStr">
        <is>
          <t>受注が PIR を消費する挙動を MD04 で確認した</t>
        </is>
      </c>
      <c r="C5" s="16" t="inlineStr"/>
    </row>
    <row r="6" ht="20" customHeight="1">
      <c r="A6" s="6" t="n">
        <v>4</v>
      </c>
      <c r="B6" s="4" t="inlineStr">
        <is>
          <t>差異計算と決済（KKS1 / KO88 / CO88）を 1 回実行した</t>
        </is>
      </c>
      <c r="C6" s="16" t="inlineStr"/>
    </row>
    <row r="7" ht="20" customHeight="1">
      <c r="A7" s="6" t="n">
        <v>5</v>
      </c>
      <c r="B7" s="4" t="inlineStr">
        <is>
          <t>MTO 站（sapmto）との違いを 5 点で説明できた</t>
        </is>
      </c>
      <c r="C7" s="16" t="inlineStr"/>
    </row>
    <row r="8" ht="20" customHeight="1">
      <c r="A8" s="6" t="n">
        <v>6</v>
      </c>
      <c r="B8" s="4" t="inlineStr">
        <is>
          <t>能力测试（quiz.html）で 75% 以上</t>
        </is>
      </c>
      <c r="C8" s="16" t="inlineStr"/>
    </row>
    <row r="10" ht="34" customHeight="1">
      <c r="A10" s="3" t="inlineStr">
        <is>
          <t>再受講が必要な分野（△ × のあったフェーズ）</t>
        </is>
      </c>
      <c r="B10" s="17" t="inlineStr"/>
    </row>
    <row r="11" ht="34" customHeight="1">
      <c r="A11" s="3" t="inlineStr">
        <is>
          <t>講師所見</t>
        </is>
      </c>
      <c r="B11" s="17" t="inlineStr"/>
    </row>
    <row r="12" ht="34" customHeight="1">
      <c r="A12" s="3" t="inlineStr">
        <is>
          <t>実施日 / 講師署名</t>
        </is>
      </c>
      <c r="B12" s="17" t="inlineStr"/>
    </row>
  </sheetData>
  <mergeCells count="4">
    <mergeCell ref="A1:C1"/>
    <mergeCell ref="B11:C11"/>
    <mergeCell ref="B10:C10"/>
    <mergeCell ref="B12:C12"/>
  </mergeCells>
  <dataValidations count="1">
    <dataValidation sqref="C3:C8" showDropDown="0" showInputMessage="0" showErrorMessage="0" allowBlank="1" type="list">
      <formula1>"✓,,—"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2026-09-12T14:10:54Z</dcterms:created>
  <dcterms:modified xsi:type="dcterms:W3CDTF">2026-09-12T14:10:54Z</dcterms:modified>
</cp:coreProperties>
</file>